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eetu\Desktop\Projects\Capstone\"/>
    </mc:Choice>
  </mc:AlternateContent>
  <xr:revisionPtr revIDLastSave="0" documentId="8_{F60AD363-4893-47C6-AB9A-D716FCF387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" i="1" l="1"/>
  <c r="N22" i="1" s="1"/>
  <c r="G21" i="1"/>
  <c r="N21" i="1" s="1"/>
  <c r="G20" i="1"/>
  <c r="N20" i="1" s="1"/>
  <c r="G19" i="1"/>
  <c r="N19" i="1" s="1"/>
  <c r="G18" i="1"/>
  <c r="N18" i="1" s="1"/>
  <c r="G17" i="1"/>
  <c r="N17" i="1" s="1"/>
  <c r="G16" i="1"/>
  <c r="N16" i="1" s="1"/>
  <c r="G15" i="1"/>
  <c r="N15" i="1" s="1"/>
  <c r="G14" i="1"/>
  <c r="N14" i="1" s="1"/>
  <c r="G13" i="1"/>
  <c r="N13" i="1" s="1"/>
  <c r="G12" i="1"/>
  <c r="N12" i="1" s="1"/>
  <c r="G11" i="1"/>
  <c r="N11" i="1" s="1"/>
  <c r="G10" i="1"/>
  <c r="N10" i="1" s="1"/>
  <c r="G9" i="1"/>
  <c r="N9" i="1" s="1"/>
  <c r="G8" i="1"/>
  <c r="N8" i="1" s="1"/>
  <c r="G7" i="1"/>
  <c r="N7" i="1" s="1"/>
  <c r="G6" i="1"/>
  <c r="N6" i="1" s="1"/>
</calcChain>
</file>

<file path=xl/sharedStrings.xml><?xml version="1.0" encoding="utf-8"?>
<sst xmlns="http://schemas.openxmlformats.org/spreadsheetml/2006/main" count="113" uniqueCount="19">
  <si>
    <t xml:space="preserve">   Mix name</t>
  </si>
  <si>
    <t>Day-1</t>
  </si>
  <si>
    <t>Mix name</t>
  </si>
  <si>
    <t>Nano-Silica</t>
  </si>
  <si>
    <t>Fly ash</t>
  </si>
  <si>
    <t>Ultrafine-Fly ash</t>
  </si>
  <si>
    <t>Ordinary Portland Cement</t>
  </si>
  <si>
    <t>Binder Weight</t>
  </si>
  <si>
    <t>SP</t>
  </si>
  <si>
    <t>VMA</t>
  </si>
  <si>
    <t>Glass fiber</t>
  </si>
  <si>
    <t>PP fiber</t>
  </si>
  <si>
    <t>Sand</t>
  </si>
  <si>
    <t>Water</t>
  </si>
  <si>
    <t>Mix Weight</t>
  </si>
  <si>
    <t>O65F20U13NS2</t>
  </si>
  <si>
    <t>Cast</t>
  </si>
  <si>
    <t>None</t>
  </si>
  <si>
    <t>Printed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</si>
</sst>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right" wrapText="1"/>
    </xf>
    <xf numFmtId="10" fontId="2" fillId="0" borderId="0" xfId="0" applyNumberFormat="1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000"/>
  <sheetViews>
    <sheetView tabSelected="1" workbookViewId="0">
      <selection activeCell="B14" sqref="B14:B18"/>
    </sheetView>
  </sheetViews>
  <sheetFormatPr defaultColWidth="14.44140625" defaultRowHeight="15" customHeight="1"/>
  <cols>
    <col min="1" max="2" width="22.6640625" customWidth="1"/>
    <col min="3" max="3" width="11.6640625" customWidth="1"/>
    <col min="4" max="4" width="8.6640625" customWidth="1"/>
    <col min="5" max="5" width="15.88671875" customWidth="1"/>
    <col min="6" max="6" width="23.88671875" customWidth="1"/>
    <col min="7" max="7" width="15" customWidth="1"/>
    <col min="8" max="9" width="8.6640625" customWidth="1"/>
    <col min="10" max="10" width="12.33203125" customWidth="1"/>
    <col min="11" max="13" width="8.6640625" customWidth="1"/>
    <col min="14" max="14" width="12.88671875" customWidth="1"/>
    <col min="15" max="78" width="8.6640625" customWidth="1"/>
  </cols>
  <sheetData>
    <row r="1" spans="1:78" ht="14.4">
      <c r="B1" s="1" t="s">
        <v>0</v>
      </c>
      <c r="P1" s="1" t="s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  <c r="W1" s="1">
        <v>8</v>
      </c>
      <c r="X1" s="1">
        <v>9</v>
      </c>
      <c r="Y1" s="1">
        <v>10</v>
      </c>
      <c r="Z1" s="1">
        <v>11</v>
      </c>
      <c r="AA1" s="1">
        <v>12</v>
      </c>
      <c r="AB1" s="1">
        <v>13</v>
      </c>
      <c r="AC1" s="1">
        <v>14</v>
      </c>
      <c r="AD1" s="1">
        <v>15</v>
      </c>
      <c r="AE1" s="1">
        <v>16</v>
      </c>
      <c r="AF1" s="1">
        <v>17</v>
      </c>
      <c r="AG1" s="1">
        <v>18</v>
      </c>
      <c r="AH1" s="1">
        <v>19</v>
      </c>
      <c r="AI1" s="1">
        <v>20</v>
      </c>
      <c r="AJ1" s="1">
        <v>21</v>
      </c>
      <c r="AK1" s="1">
        <v>22</v>
      </c>
      <c r="AL1" s="1">
        <v>23</v>
      </c>
      <c r="AM1" s="1">
        <v>24</v>
      </c>
      <c r="AN1" s="1">
        <v>25</v>
      </c>
      <c r="AO1" s="1">
        <v>26</v>
      </c>
      <c r="AP1" s="1">
        <v>27</v>
      </c>
      <c r="AQ1" s="1">
        <v>28</v>
      </c>
      <c r="AR1" s="1">
        <v>29</v>
      </c>
      <c r="AS1" s="1">
        <v>30</v>
      </c>
      <c r="AT1" s="1">
        <v>31</v>
      </c>
      <c r="AU1" s="1">
        <v>32</v>
      </c>
      <c r="AV1" s="1">
        <v>33</v>
      </c>
      <c r="AW1" s="1">
        <v>34</v>
      </c>
      <c r="AX1" s="1">
        <v>35</v>
      </c>
      <c r="AY1" s="1">
        <v>36</v>
      </c>
      <c r="AZ1" s="1">
        <v>37</v>
      </c>
      <c r="BA1" s="1">
        <v>38</v>
      </c>
      <c r="BB1" s="1">
        <v>39</v>
      </c>
      <c r="BC1" s="1">
        <v>40</v>
      </c>
      <c r="BD1" s="1">
        <v>41</v>
      </c>
      <c r="BE1" s="1">
        <v>42</v>
      </c>
      <c r="BF1" s="1">
        <v>43</v>
      </c>
      <c r="BG1" s="1">
        <v>44</v>
      </c>
      <c r="BH1" s="1">
        <v>45</v>
      </c>
      <c r="BI1" s="1">
        <v>46</v>
      </c>
      <c r="BJ1" s="1">
        <v>47</v>
      </c>
      <c r="BK1" s="1">
        <v>48</v>
      </c>
      <c r="BL1" s="1">
        <v>49</v>
      </c>
      <c r="BM1" s="1">
        <v>50</v>
      </c>
      <c r="BN1" s="1">
        <v>51</v>
      </c>
      <c r="BO1" s="1">
        <v>52</v>
      </c>
      <c r="BP1" s="1">
        <v>53</v>
      </c>
      <c r="BQ1" s="1">
        <v>54</v>
      </c>
      <c r="BR1" s="1">
        <v>55</v>
      </c>
      <c r="BS1" s="1">
        <v>56</v>
      </c>
      <c r="BT1" s="1">
        <v>57</v>
      </c>
      <c r="BU1" s="1">
        <v>58</v>
      </c>
      <c r="BV1" s="1">
        <v>59</v>
      </c>
      <c r="BW1" s="1">
        <v>60</v>
      </c>
      <c r="BX1" s="1">
        <v>61</v>
      </c>
      <c r="BY1" s="1">
        <v>62</v>
      </c>
      <c r="BZ1" s="1">
        <v>63</v>
      </c>
    </row>
    <row r="2" spans="1:78" ht="14.4">
      <c r="A2" s="2"/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6" t="s">
        <v>10</v>
      </c>
      <c r="K2" s="16" t="s">
        <v>11</v>
      </c>
      <c r="L2" s="13" t="s">
        <v>12</v>
      </c>
      <c r="M2" s="13" t="s">
        <v>13</v>
      </c>
      <c r="N2" s="13" t="s">
        <v>14</v>
      </c>
      <c r="O2" s="5"/>
      <c r="P2" s="6"/>
      <c r="Q2" s="6"/>
      <c r="R2" s="7"/>
      <c r="S2" s="6"/>
      <c r="T2" s="6"/>
      <c r="U2" s="7"/>
      <c r="V2" s="6"/>
      <c r="W2" s="6"/>
      <c r="X2" s="7"/>
      <c r="Y2" s="7"/>
      <c r="Z2" s="6"/>
      <c r="AA2" s="6"/>
      <c r="AB2" s="7"/>
      <c r="AC2" s="6"/>
      <c r="AD2" s="6"/>
      <c r="AE2" s="6"/>
      <c r="AF2" s="6"/>
      <c r="AG2" s="6"/>
      <c r="AH2" s="6"/>
      <c r="AI2" s="6"/>
      <c r="AJ2" s="6"/>
      <c r="AK2" s="6"/>
      <c r="AL2" s="6"/>
      <c r="AM2" s="7"/>
      <c r="AN2" s="6"/>
      <c r="AO2" s="6"/>
      <c r="AP2" s="6"/>
      <c r="AQ2" s="6"/>
      <c r="AR2" s="6"/>
      <c r="AS2" s="6"/>
      <c r="AT2" s="7"/>
      <c r="AU2" s="6"/>
      <c r="AV2" s="6"/>
      <c r="AW2" s="6"/>
      <c r="AX2" s="6"/>
      <c r="AY2" s="6"/>
      <c r="AZ2" s="6"/>
      <c r="BA2" s="7"/>
      <c r="BB2" s="6"/>
      <c r="BC2" s="6"/>
      <c r="BD2" s="6"/>
      <c r="BE2" s="6"/>
      <c r="BF2" s="6"/>
      <c r="BG2" s="6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</row>
    <row r="3" spans="1:78" ht="14.4">
      <c r="A3" s="2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5"/>
      <c r="P3" s="6"/>
      <c r="Q3" s="6"/>
      <c r="R3" s="7"/>
      <c r="S3" s="6"/>
      <c r="T3" s="6"/>
      <c r="U3" s="7"/>
      <c r="V3" s="6"/>
      <c r="W3" s="6"/>
      <c r="X3" s="7"/>
      <c r="Y3" s="7"/>
      <c r="Z3" s="6"/>
      <c r="AA3" s="6"/>
      <c r="AB3" s="7"/>
      <c r="AC3" s="6"/>
      <c r="AD3" s="6"/>
      <c r="AE3" s="6"/>
      <c r="AF3" s="6"/>
      <c r="AG3" s="6"/>
      <c r="AH3" s="6"/>
      <c r="AI3" s="6"/>
      <c r="AJ3" s="6"/>
      <c r="AK3" s="6"/>
      <c r="AL3" s="6"/>
      <c r="AM3" s="7"/>
      <c r="AN3" s="6"/>
      <c r="AO3" s="6"/>
      <c r="AP3" s="6"/>
      <c r="AQ3" s="6"/>
      <c r="AR3" s="6"/>
      <c r="AS3" s="6"/>
      <c r="AT3" s="7"/>
      <c r="AU3" s="6"/>
      <c r="AV3" s="6"/>
      <c r="AW3" s="6"/>
      <c r="AX3" s="6"/>
      <c r="AY3" s="6"/>
      <c r="AZ3" s="6"/>
      <c r="BA3" s="7"/>
      <c r="BB3" s="6"/>
      <c r="BC3" s="6"/>
      <c r="BD3" s="6"/>
      <c r="BE3" s="6"/>
      <c r="BF3" s="6"/>
      <c r="BG3" s="6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</row>
    <row r="4" spans="1:78" ht="14.4">
      <c r="A4" s="2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5"/>
      <c r="P4" s="6"/>
      <c r="Q4" s="7"/>
      <c r="R4" s="6"/>
      <c r="S4" s="6"/>
      <c r="T4" s="6"/>
      <c r="U4" s="6"/>
      <c r="V4" s="6"/>
      <c r="W4" s="6"/>
      <c r="X4" s="6"/>
      <c r="Y4" s="6"/>
      <c r="Z4" s="6"/>
      <c r="AA4" s="6"/>
      <c r="AB4" s="7"/>
      <c r="AC4" s="6"/>
      <c r="AD4" s="6"/>
      <c r="AE4" s="6"/>
      <c r="AF4" s="6"/>
      <c r="AG4" s="6"/>
      <c r="AH4" s="6"/>
      <c r="AI4" s="7"/>
      <c r="AJ4" s="6"/>
      <c r="AK4" s="6"/>
      <c r="AL4" s="6"/>
      <c r="AM4" s="6"/>
      <c r="AN4" s="6"/>
      <c r="AO4" s="6"/>
      <c r="AP4" s="7"/>
      <c r="AQ4" s="6"/>
      <c r="AR4" s="6"/>
      <c r="AS4" s="6"/>
      <c r="AT4" s="6"/>
      <c r="AU4" s="6"/>
      <c r="AV4" s="6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</row>
    <row r="5" spans="1:78" ht="14.4">
      <c r="A5" s="2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5"/>
      <c r="P5" s="6"/>
      <c r="Q5" s="7"/>
      <c r="R5" s="6"/>
      <c r="S5" s="6"/>
      <c r="T5" s="6"/>
      <c r="U5" s="6"/>
      <c r="V5" s="6"/>
      <c r="W5" s="6"/>
      <c r="X5" s="6"/>
      <c r="Y5" s="6"/>
      <c r="Z5" s="6"/>
      <c r="AA5" s="6"/>
      <c r="AB5" s="7"/>
      <c r="AC5" s="6"/>
      <c r="AD5" s="6"/>
      <c r="AE5" s="6"/>
      <c r="AF5" s="6"/>
      <c r="AG5" s="6"/>
      <c r="AH5" s="6"/>
      <c r="AI5" s="7"/>
      <c r="AJ5" s="6"/>
      <c r="AK5" s="6"/>
      <c r="AL5" s="6"/>
      <c r="AM5" s="6"/>
      <c r="AN5" s="6"/>
      <c r="AO5" s="6"/>
      <c r="AP5" s="7"/>
      <c r="AQ5" s="6"/>
      <c r="AR5" s="6"/>
      <c r="AS5" s="6"/>
      <c r="AT5" s="6"/>
      <c r="AU5" s="6"/>
      <c r="AV5" s="6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</row>
    <row r="6" spans="1:78" ht="14.4">
      <c r="A6" s="2"/>
      <c r="B6" s="13" t="s">
        <v>15</v>
      </c>
      <c r="C6" s="8">
        <v>15.55</v>
      </c>
      <c r="D6" s="8">
        <v>155.54</v>
      </c>
      <c r="E6" s="8">
        <v>101.1</v>
      </c>
      <c r="F6" s="8">
        <v>505.51</v>
      </c>
      <c r="G6" s="8">
        <f t="shared" ref="G6:G7" si="0">C6+D6+E6+F6</f>
        <v>777.7</v>
      </c>
      <c r="H6" s="3">
        <v>0.77769999999999995</v>
      </c>
      <c r="I6" s="3">
        <v>2.7219500000000001</v>
      </c>
      <c r="J6" s="3">
        <v>3.8885000000000001</v>
      </c>
      <c r="K6" s="4">
        <v>0</v>
      </c>
      <c r="L6" s="8">
        <v>1166.55</v>
      </c>
      <c r="M6" s="8">
        <v>272.2</v>
      </c>
      <c r="N6" s="8">
        <f t="shared" ref="N6:N7" si="1">L6+M6+G6+H6+I6+J6+K6</f>
        <v>2223.83815</v>
      </c>
      <c r="O6" s="5" t="s">
        <v>16</v>
      </c>
      <c r="P6" s="9">
        <v>4.258</v>
      </c>
      <c r="Q6" s="6">
        <v>4.2939999999999996</v>
      </c>
      <c r="R6" s="6">
        <v>4.2939999999999996</v>
      </c>
      <c r="S6" s="6">
        <v>4.2530000000000001</v>
      </c>
      <c r="T6" s="6">
        <v>4.2380000000000004</v>
      </c>
      <c r="U6" s="6">
        <v>4.2229999999999999</v>
      </c>
      <c r="V6" s="6">
        <v>4.2160000000000002</v>
      </c>
      <c r="W6" s="6">
        <v>4.2160000000000002</v>
      </c>
      <c r="X6" s="6">
        <v>4.2160000000000002</v>
      </c>
      <c r="Y6" s="6">
        <v>4.2160000000000002</v>
      </c>
      <c r="Z6" s="6">
        <v>4.2160000000000002</v>
      </c>
      <c r="AA6" s="7" t="s">
        <v>17</v>
      </c>
      <c r="AB6" s="6">
        <v>4.194</v>
      </c>
      <c r="AC6" s="6">
        <v>4.194</v>
      </c>
      <c r="AD6" s="6">
        <v>4.1870000000000003</v>
      </c>
      <c r="AE6" s="6">
        <v>4.1870000000000003</v>
      </c>
      <c r="AF6" s="6">
        <v>4.1870000000000003</v>
      </c>
      <c r="AG6" s="6">
        <v>4.1829999999999998</v>
      </c>
      <c r="AH6" s="7" t="s">
        <v>17</v>
      </c>
      <c r="AI6" s="6">
        <v>4.1829999999999998</v>
      </c>
      <c r="AJ6" s="6">
        <v>4.1580000000000004</v>
      </c>
      <c r="AK6" s="6">
        <v>4.1769999999999996</v>
      </c>
      <c r="AL6" s="6">
        <v>4.1769999999999996</v>
      </c>
      <c r="AM6" s="6">
        <v>4.1769999999999996</v>
      </c>
      <c r="AN6" s="6">
        <v>4.1769999999999996</v>
      </c>
      <c r="AO6" s="7" t="s">
        <v>17</v>
      </c>
      <c r="AP6" s="6">
        <v>4.1769999999999996</v>
      </c>
      <c r="AQ6" s="6">
        <v>4.1580000000000004</v>
      </c>
      <c r="AR6" s="6">
        <v>4.1550000000000002</v>
      </c>
      <c r="AS6" s="6">
        <v>4.1230000000000002</v>
      </c>
      <c r="AT6" s="6"/>
      <c r="AU6" s="6"/>
      <c r="AV6" s="6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</row>
    <row r="7" spans="1:78" ht="14.4">
      <c r="A7" s="2"/>
      <c r="B7" s="14"/>
      <c r="C7" s="8">
        <v>15.55</v>
      </c>
      <c r="D7" s="8">
        <v>155.54</v>
      </c>
      <c r="E7" s="8">
        <v>101.1</v>
      </c>
      <c r="F7" s="8">
        <v>505.51</v>
      </c>
      <c r="G7" s="8">
        <f t="shared" si="0"/>
        <v>777.7</v>
      </c>
      <c r="H7" s="3">
        <v>0.77769999999999995</v>
      </c>
      <c r="I7" s="3">
        <v>2.7219500000000001</v>
      </c>
      <c r="J7" s="3">
        <v>3.8885000000000001</v>
      </c>
      <c r="K7" s="4">
        <v>0</v>
      </c>
      <c r="L7" s="8">
        <v>1166.55</v>
      </c>
      <c r="M7" s="8">
        <v>272.2</v>
      </c>
      <c r="N7" s="8">
        <f t="shared" si="1"/>
        <v>2223.83815</v>
      </c>
      <c r="O7" s="5" t="s">
        <v>16</v>
      </c>
      <c r="P7" s="9">
        <v>3.4990000000000001</v>
      </c>
      <c r="Q7" s="6">
        <v>3.468</v>
      </c>
      <c r="R7" s="6">
        <v>3.4039999999999999</v>
      </c>
      <c r="S7" s="6">
        <v>3.3730000000000002</v>
      </c>
      <c r="T7" s="6">
        <v>3.343</v>
      </c>
      <c r="U7" s="6">
        <v>3.343</v>
      </c>
      <c r="V7" s="6">
        <v>3.343</v>
      </c>
      <c r="W7" s="6">
        <v>3.343</v>
      </c>
      <c r="X7" s="6">
        <v>3.343</v>
      </c>
      <c r="Y7" s="6">
        <v>3.343</v>
      </c>
      <c r="Z7" s="6">
        <v>3.343</v>
      </c>
      <c r="AA7" s="7" t="s">
        <v>17</v>
      </c>
      <c r="AB7" s="6">
        <v>3.327</v>
      </c>
      <c r="AC7" s="6">
        <v>3.327</v>
      </c>
      <c r="AD7" s="6">
        <v>3.327</v>
      </c>
      <c r="AE7" s="6">
        <v>3.327</v>
      </c>
      <c r="AF7" s="6">
        <v>3.327</v>
      </c>
      <c r="AG7" s="6">
        <v>3.3170000000000002</v>
      </c>
      <c r="AH7" s="7" t="s">
        <v>17</v>
      </c>
      <c r="AI7" s="6">
        <v>3.3170000000000002</v>
      </c>
      <c r="AJ7" s="6">
        <v>3.3159999999999998</v>
      </c>
      <c r="AK7" s="6">
        <v>3.3159999999999998</v>
      </c>
      <c r="AL7" s="6">
        <v>3.3159999999999998</v>
      </c>
      <c r="AM7" s="6">
        <v>3.3159999999999998</v>
      </c>
      <c r="AN7" s="6">
        <v>3.3159999999999998</v>
      </c>
      <c r="AO7" s="7" t="s">
        <v>17</v>
      </c>
      <c r="AP7" s="6">
        <v>3.3159999999999998</v>
      </c>
      <c r="AQ7" s="6">
        <v>3.2930000000000001</v>
      </c>
      <c r="AR7" s="6">
        <v>3.2930000000000001</v>
      </c>
      <c r="AS7" s="6">
        <v>3.262</v>
      </c>
      <c r="AT7" s="6"/>
      <c r="AU7" s="6"/>
      <c r="AV7" s="6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</row>
    <row r="8" spans="1:78" ht="14.4">
      <c r="A8" s="2"/>
      <c r="B8" s="14"/>
      <c r="C8" s="8">
        <v>15.55</v>
      </c>
      <c r="D8" s="8">
        <v>155.54</v>
      </c>
      <c r="E8" s="8">
        <v>101.1</v>
      </c>
      <c r="F8" s="8">
        <v>505.51</v>
      </c>
      <c r="G8" s="8">
        <f>C8+D8+E8+F8</f>
        <v>777.7</v>
      </c>
      <c r="H8" s="3">
        <v>0.77769999999999995</v>
      </c>
      <c r="I8" s="3">
        <v>2.7219500000000001</v>
      </c>
      <c r="J8" s="3">
        <v>3.8885000000000001</v>
      </c>
      <c r="K8" s="4">
        <v>0</v>
      </c>
      <c r="L8" s="8">
        <v>1166.55</v>
      </c>
      <c r="M8" s="8">
        <v>272.2</v>
      </c>
      <c r="N8" s="8">
        <f t="shared" ref="N8:N22" si="2">L8+M8+G8+H8+I8++J8+K8</f>
        <v>2223.83815</v>
      </c>
      <c r="O8" s="5" t="s">
        <v>18</v>
      </c>
      <c r="P8" s="9">
        <v>5.7009999999999996</v>
      </c>
      <c r="Q8" s="6">
        <v>5.5590000000000002</v>
      </c>
      <c r="R8" s="6">
        <v>5.4729999999999999</v>
      </c>
      <c r="S8" s="6">
        <v>5.4390000000000001</v>
      </c>
      <c r="T8" s="6">
        <v>5.4059999999999997</v>
      </c>
      <c r="U8" s="6">
        <v>5.4059999999999997</v>
      </c>
      <c r="V8" s="6">
        <v>5.4059999999999997</v>
      </c>
      <c r="W8" s="6">
        <v>5.4050000000000002</v>
      </c>
      <c r="X8" s="6">
        <v>5.4050000000000002</v>
      </c>
      <c r="Y8" s="6">
        <v>5.4050000000000002</v>
      </c>
      <c r="Z8" s="7" t="s">
        <v>17</v>
      </c>
      <c r="AA8" s="6">
        <v>5.3860000000000001</v>
      </c>
      <c r="AB8" s="6">
        <v>5.3860000000000001</v>
      </c>
      <c r="AC8" s="6">
        <v>5.3860000000000001</v>
      </c>
      <c r="AD8" s="6">
        <v>5.3860000000000001</v>
      </c>
      <c r="AE8" s="6">
        <v>5.3860000000000001</v>
      </c>
      <c r="AF8" s="6">
        <v>5.3760000000000003</v>
      </c>
      <c r="AG8" s="7" t="s">
        <v>17</v>
      </c>
      <c r="AH8" s="6">
        <v>5.3760000000000003</v>
      </c>
      <c r="AI8" s="6">
        <v>5.3760000000000003</v>
      </c>
      <c r="AJ8" s="6">
        <v>5.3760000000000003</v>
      </c>
      <c r="AK8" s="6">
        <v>5.3760000000000003</v>
      </c>
      <c r="AL8" s="6">
        <v>5.3760000000000003</v>
      </c>
      <c r="AM8" s="6">
        <v>5.3760000000000003</v>
      </c>
      <c r="AN8" s="7" t="s">
        <v>17</v>
      </c>
      <c r="AO8" s="6">
        <v>5.3760000000000003</v>
      </c>
      <c r="AP8" s="6">
        <v>5.3529999999999998</v>
      </c>
      <c r="AQ8" s="6">
        <v>5.3529999999999998</v>
      </c>
      <c r="AR8" s="6">
        <v>5.3470000000000004</v>
      </c>
      <c r="AS8" s="6">
        <v>5.3470000000000004</v>
      </c>
      <c r="AT8" s="6"/>
      <c r="AU8" s="6"/>
      <c r="AV8" s="6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</row>
    <row r="9" spans="1:78" ht="14.4">
      <c r="A9" s="2"/>
      <c r="B9" s="15"/>
      <c r="C9" s="8">
        <v>15.55</v>
      </c>
      <c r="D9" s="8">
        <v>155.54</v>
      </c>
      <c r="E9" s="8">
        <v>101.1</v>
      </c>
      <c r="F9" s="8">
        <v>505.51</v>
      </c>
      <c r="G9" s="8">
        <f t="shared" ref="G9:G22" si="3">C9+D9+E9+F9</f>
        <v>777.7</v>
      </c>
      <c r="H9" s="3">
        <v>0.77769999999999995</v>
      </c>
      <c r="I9" s="3">
        <v>2.7219500000000001</v>
      </c>
      <c r="J9" s="3">
        <v>3.8885000000000001</v>
      </c>
      <c r="K9" s="4">
        <v>0</v>
      </c>
      <c r="L9" s="8">
        <v>1166.55</v>
      </c>
      <c r="M9" s="8">
        <v>272.2</v>
      </c>
      <c r="N9" s="8">
        <f t="shared" si="2"/>
        <v>2223.83815</v>
      </c>
      <c r="O9" s="5" t="s">
        <v>18</v>
      </c>
      <c r="P9" s="9">
        <v>3.2850000000000001</v>
      </c>
      <c r="Q9" s="6">
        <v>3.0710000000000002</v>
      </c>
      <c r="R9" s="6">
        <v>2.948</v>
      </c>
      <c r="S9" s="6">
        <v>2.8969999999999998</v>
      </c>
      <c r="T9" s="6">
        <v>2.847</v>
      </c>
      <c r="U9" s="6">
        <v>2.847</v>
      </c>
      <c r="V9" s="6">
        <v>2.847</v>
      </c>
      <c r="W9" s="6">
        <v>2.847</v>
      </c>
      <c r="X9" s="6">
        <v>2.847</v>
      </c>
      <c r="Y9" s="6">
        <v>2.847</v>
      </c>
      <c r="Z9" s="7" t="s">
        <v>17</v>
      </c>
      <c r="AA9" s="6">
        <v>2.847</v>
      </c>
      <c r="AB9" s="6">
        <v>2.847</v>
      </c>
      <c r="AC9" s="6">
        <v>2.847</v>
      </c>
      <c r="AD9" s="6">
        <v>2.847</v>
      </c>
      <c r="AE9" s="6">
        <v>2.847</v>
      </c>
      <c r="AF9" s="6">
        <v>2.847</v>
      </c>
      <c r="AG9" s="7" t="s">
        <v>17</v>
      </c>
      <c r="AH9" s="6">
        <v>2.847</v>
      </c>
      <c r="AI9" s="6">
        <v>2.847</v>
      </c>
      <c r="AJ9" s="6">
        <v>2.847</v>
      </c>
      <c r="AK9" s="6">
        <v>2.847</v>
      </c>
      <c r="AL9" s="6">
        <v>2.847</v>
      </c>
      <c r="AM9" s="6">
        <v>2.847</v>
      </c>
      <c r="AN9" s="7" t="s">
        <v>17</v>
      </c>
      <c r="AO9" s="6">
        <v>2.847</v>
      </c>
      <c r="AP9" s="6">
        <v>2.831</v>
      </c>
      <c r="AQ9" s="6">
        <v>2.831</v>
      </c>
      <c r="AR9" s="6">
        <v>2.8250000000000002</v>
      </c>
      <c r="AS9" s="6">
        <v>2.8250000000000002</v>
      </c>
      <c r="AT9" s="6"/>
      <c r="AU9" s="6"/>
      <c r="AV9" s="6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</row>
    <row r="10" spans="1:78" ht="14.4">
      <c r="A10" s="2"/>
      <c r="B10" s="13" t="s">
        <v>15</v>
      </c>
      <c r="C10" s="8">
        <v>15.55</v>
      </c>
      <c r="D10" s="8">
        <v>155.54</v>
      </c>
      <c r="E10" s="8">
        <v>101.1</v>
      </c>
      <c r="F10" s="8">
        <v>505.51</v>
      </c>
      <c r="G10" s="8">
        <f t="shared" si="3"/>
        <v>777.7</v>
      </c>
      <c r="H10" s="3">
        <v>0.77769999999999995</v>
      </c>
      <c r="I10" s="3">
        <v>2.7219500000000001</v>
      </c>
      <c r="J10" s="3">
        <v>1.944</v>
      </c>
      <c r="K10" s="4">
        <v>0</v>
      </c>
      <c r="L10" s="8">
        <v>1166.55</v>
      </c>
      <c r="M10" s="8">
        <v>272.2</v>
      </c>
      <c r="N10" s="8">
        <f t="shared" si="2"/>
        <v>2221.89365</v>
      </c>
      <c r="O10" s="5" t="s">
        <v>16</v>
      </c>
      <c r="P10" s="6">
        <v>4.952</v>
      </c>
      <c r="Q10" s="6">
        <v>4.9130000000000003</v>
      </c>
      <c r="R10" s="7" t="s">
        <v>17</v>
      </c>
      <c r="S10" s="6">
        <v>4.8579999999999997</v>
      </c>
      <c r="T10" s="6">
        <v>4.8579999999999997</v>
      </c>
      <c r="U10" s="6">
        <v>4.8579999999999997</v>
      </c>
      <c r="V10" s="6">
        <v>4.8179999999999996</v>
      </c>
      <c r="W10" s="6">
        <v>4.7779999999999996</v>
      </c>
      <c r="X10" s="6">
        <v>4.7779999999999996</v>
      </c>
      <c r="Y10" s="6">
        <v>4.7779999999999996</v>
      </c>
      <c r="Z10" s="6">
        <v>4.7779999999999996</v>
      </c>
      <c r="AA10" s="6">
        <v>4.7779999999999996</v>
      </c>
      <c r="AB10" s="6">
        <v>4.7779999999999996</v>
      </c>
      <c r="AC10" s="7" t="s">
        <v>17</v>
      </c>
      <c r="AD10" s="6">
        <v>4.7779999999999996</v>
      </c>
      <c r="AE10" s="6">
        <v>4.7779999999999996</v>
      </c>
      <c r="AF10" s="6">
        <v>4.7779999999999996</v>
      </c>
      <c r="AG10" s="6">
        <v>4.7779999999999996</v>
      </c>
      <c r="AH10" s="6">
        <v>4.7779999999999996</v>
      </c>
      <c r="AI10" s="6">
        <v>4.7779999999999996</v>
      </c>
      <c r="AJ10" s="7" t="s">
        <v>17</v>
      </c>
      <c r="AK10" s="6">
        <v>4.7779999999999996</v>
      </c>
      <c r="AL10" s="6">
        <v>4.774</v>
      </c>
      <c r="AM10" s="6">
        <v>4.774</v>
      </c>
      <c r="AN10" s="6">
        <v>4.774</v>
      </c>
      <c r="AO10" s="6">
        <v>4.774</v>
      </c>
      <c r="AP10" s="6">
        <v>4.774</v>
      </c>
      <c r="AQ10" s="7" t="s">
        <v>17</v>
      </c>
      <c r="AR10" s="6">
        <v>4.774</v>
      </c>
      <c r="AS10" s="6">
        <v>4.7610000000000001</v>
      </c>
      <c r="AT10" s="6"/>
      <c r="AU10" s="6"/>
      <c r="AV10" s="6"/>
      <c r="AW10" s="6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</row>
    <row r="11" spans="1:78" ht="14.4">
      <c r="A11" s="2"/>
      <c r="B11" s="14"/>
      <c r="C11" s="8">
        <v>15.55</v>
      </c>
      <c r="D11" s="8">
        <v>155.54</v>
      </c>
      <c r="E11" s="8">
        <v>101.1</v>
      </c>
      <c r="F11" s="8">
        <v>505.51</v>
      </c>
      <c r="G11" s="8">
        <f t="shared" si="3"/>
        <v>777.7</v>
      </c>
      <c r="H11" s="3">
        <v>0.77769999999999995</v>
      </c>
      <c r="I11" s="3">
        <v>2.7219500000000001</v>
      </c>
      <c r="J11" s="3">
        <v>1.944</v>
      </c>
      <c r="K11" s="4">
        <v>0</v>
      </c>
      <c r="L11" s="8">
        <v>1166.55</v>
      </c>
      <c r="M11" s="8">
        <v>272.2</v>
      </c>
      <c r="N11" s="8">
        <f t="shared" si="2"/>
        <v>2221.89365</v>
      </c>
      <c r="O11" s="5" t="s">
        <v>16</v>
      </c>
      <c r="P11" s="6">
        <v>4.2130000000000001</v>
      </c>
      <c r="Q11" s="6">
        <v>4.1740000000000004</v>
      </c>
      <c r="R11" s="7" t="s">
        <v>17</v>
      </c>
      <c r="S11" s="6">
        <v>4.0979999999999999</v>
      </c>
      <c r="T11" s="6">
        <v>4.0979999999999999</v>
      </c>
      <c r="U11" s="6">
        <v>4.0979999999999999</v>
      </c>
      <c r="V11" s="6">
        <v>4.0720000000000001</v>
      </c>
      <c r="W11" s="6">
        <v>4.0460000000000003</v>
      </c>
      <c r="X11" s="6">
        <v>4.0460000000000003</v>
      </c>
      <c r="Y11" s="6">
        <v>4.0460000000000003</v>
      </c>
      <c r="Z11" s="6">
        <v>4.0449999999999999</v>
      </c>
      <c r="AA11" s="6">
        <v>4.0449999999999999</v>
      </c>
      <c r="AB11" s="6">
        <v>4.0449999999999999</v>
      </c>
      <c r="AC11" s="7" t="s">
        <v>17</v>
      </c>
      <c r="AD11" s="6">
        <v>4.0449999999999999</v>
      </c>
      <c r="AE11" s="6">
        <v>4.0449999999999999</v>
      </c>
      <c r="AF11" s="6">
        <v>4.0449999999999999</v>
      </c>
      <c r="AG11" s="6">
        <v>4.0449999999999999</v>
      </c>
      <c r="AH11" s="6">
        <v>4.0449999999999999</v>
      </c>
      <c r="AI11" s="6">
        <v>4.0410000000000004</v>
      </c>
      <c r="AJ11" s="7" t="s">
        <v>17</v>
      </c>
      <c r="AK11" s="6">
        <v>4.0410000000000004</v>
      </c>
      <c r="AL11" s="6">
        <v>4.0410000000000004</v>
      </c>
      <c r="AM11" s="6">
        <v>4.0410000000000004</v>
      </c>
      <c r="AN11" s="6">
        <v>4.0410000000000004</v>
      </c>
      <c r="AO11" s="6">
        <v>4.0410000000000004</v>
      </c>
      <c r="AP11" s="6">
        <v>4.0410000000000004</v>
      </c>
      <c r="AQ11" s="7" t="s">
        <v>17</v>
      </c>
      <c r="AR11" s="6">
        <v>4.0410000000000004</v>
      </c>
      <c r="AS11" s="6">
        <v>4.0179999999999998</v>
      </c>
      <c r="AT11" s="6"/>
      <c r="AU11" s="6"/>
      <c r="AV11" s="6"/>
      <c r="AW11" s="6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</row>
    <row r="12" spans="1:78" ht="14.4">
      <c r="A12" s="2"/>
      <c r="B12" s="14"/>
      <c r="C12" s="8">
        <v>15.55</v>
      </c>
      <c r="D12" s="8">
        <v>155.54</v>
      </c>
      <c r="E12" s="8">
        <v>101.1</v>
      </c>
      <c r="F12" s="8">
        <v>505.51</v>
      </c>
      <c r="G12" s="8">
        <f t="shared" si="3"/>
        <v>777.7</v>
      </c>
      <c r="H12" s="3">
        <v>0.77769999999999995</v>
      </c>
      <c r="I12" s="3">
        <v>2.7219500000000001</v>
      </c>
      <c r="J12" s="3">
        <v>1.944</v>
      </c>
      <c r="K12" s="4">
        <v>0</v>
      </c>
      <c r="L12" s="8">
        <v>1166.55</v>
      </c>
      <c r="M12" s="8">
        <v>272.2</v>
      </c>
      <c r="N12" s="8">
        <f t="shared" si="2"/>
        <v>2221.89365</v>
      </c>
      <c r="O12" s="5" t="s">
        <v>18</v>
      </c>
      <c r="P12" s="6">
        <v>3.508</v>
      </c>
      <c r="Q12" s="6">
        <v>3.3340000000000001</v>
      </c>
      <c r="R12" s="6">
        <v>3.2879999999999998</v>
      </c>
      <c r="S12" s="6">
        <v>3.2429999999999999</v>
      </c>
      <c r="T12" s="6">
        <v>3.2429999999999999</v>
      </c>
      <c r="U12" s="6">
        <v>3.2429999999999999</v>
      </c>
      <c r="V12" s="6">
        <v>3.23</v>
      </c>
      <c r="W12" s="6">
        <v>3.2250000000000001</v>
      </c>
      <c r="X12" s="6">
        <v>3.2250000000000001</v>
      </c>
      <c r="Y12" s="7" t="s">
        <v>17</v>
      </c>
      <c r="Z12" s="6">
        <v>3.2149999999999999</v>
      </c>
      <c r="AA12" s="6">
        <v>3.2149999999999999</v>
      </c>
      <c r="AB12" s="6">
        <v>3.2149999999999999</v>
      </c>
      <c r="AC12" s="6">
        <v>3.2149999999999999</v>
      </c>
      <c r="AD12" s="6">
        <v>3.2120000000000002</v>
      </c>
      <c r="AE12" s="6">
        <v>3.2040000000000002</v>
      </c>
      <c r="AF12" s="7" t="s">
        <v>17</v>
      </c>
      <c r="AG12" s="6">
        <v>3.2040000000000002</v>
      </c>
      <c r="AH12" s="6">
        <v>3.2010000000000001</v>
      </c>
      <c r="AI12" s="6">
        <v>3.2010000000000001</v>
      </c>
      <c r="AJ12" s="6">
        <v>3.2010000000000001</v>
      </c>
      <c r="AK12" s="6">
        <v>3.2010000000000001</v>
      </c>
      <c r="AL12" s="6">
        <v>3.2010000000000001</v>
      </c>
      <c r="AM12" s="7" t="s">
        <v>17</v>
      </c>
      <c r="AN12" s="6">
        <v>3.2010000000000001</v>
      </c>
      <c r="AO12" s="6">
        <v>3.1749999999999998</v>
      </c>
      <c r="AP12" s="6">
        <v>3.1749999999999998</v>
      </c>
      <c r="AQ12" s="6">
        <v>3.1429999999999998</v>
      </c>
      <c r="AR12" s="6">
        <v>3.1429999999999998</v>
      </c>
      <c r="AS12" s="6">
        <v>3.1429999999999998</v>
      </c>
      <c r="AT12" s="6"/>
      <c r="AU12" s="6"/>
      <c r="AV12" s="6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</row>
    <row r="13" spans="1:78" ht="14.4">
      <c r="A13" s="2"/>
      <c r="B13" s="15"/>
      <c r="C13" s="8">
        <v>15.55</v>
      </c>
      <c r="D13" s="8">
        <v>155.54</v>
      </c>
      <c r="E13" s="8">
        <v>101.1</v>
      </c>
      <c r="F13" s="8">
        <v>505.51</v>
      </c>
      <c r="G13" s="8">
        <f t="shared" si="3"/>
        <v>777.7</v>
      </c>
      <c r="H13" s="3">
        <v>0.77769999999999995</v>
      </c>
      <c r="I13" s="3">
        <v>2.7219500000000001</v>
      </c>
      <c r="J13" s="3">
        <v>1.944</v>
      </c>
      <c r="K13" s="4">
        <v>0</v>
      </c>
      <c r="L13" s="8">
        <v>1166.55</v>
      </c>
      <c r="M13" s="8">
        <v>272.2</v>
      </c>
      <c r="N13" s="8">
        <f t="shared" si="2"/>
        <v>2221.89365</v>
      </c>
      <c r="O13" s="5" t="s">
        <v>18</v>
      </c>
      <c r="P13" s="6">
        <v>4.8940000000000001</v>
      </c>
      <c r="Q13" s="6">
        <v>4.72</v>
      </c>
      <c r="R13" s="6">
        <v>4.6740000000000004</v>
      </c>
      <c r="S13" s="6">
        <v>4.6289999999999996</v>
      </c>
      <c r="T13" s="6">
        <v>4.6289999999999996</v>
      </c>
      <c r="U13" s="6">
        <v>4.6289999999999996</v>
      </c>
      <c r="V13" s="6">
        <v>4.625</v>
      </c>
      <c r="W13" s="6">
        <v>4.625</v>
      </c>
      <c r="X13" s="6">
        <v>4.625</v>
      </c>
      <c r="Y13" s="7" t="s">
        <v>17</v>
      </c>
      <c r="Z13" s="6">
        <v>4.625</v>
      </c>
      <c r="AA13" s="6">
        <v>4.625</v>
      </c>
      <c r="AB13" s="6">
        <v>4.625</v>
      </c>
      <c r="AC13" s="6">
        <v>4.625</v>
      </c>
      <c r="AD13" s="6">
        <v>4.6180000000000003</v>
      </c>
      <c r="AE13" s="6">
        <v>4.6029999999999998</v>
      </c>
      <c r="AF13" s="7" t="s">
        <v>17</v>
      </c>
      <c r="AG13" s="6">
        <v>4.6029999999999998</v>
      </c>
      <c r="AH13" s="6">
        <v>4.6029999999999998</v>
      </c>
      <c r="AI13" s="6">
        <v>4.6029999999999998</v>
      </c>
      <c r="AJ13" s="6">
        <v>4.6029999999999998</v>
      </c>
      <c r="AK13" s="6">
        <v>4.6029999999999998</v>
      </c>
      <c r="AL13" s="6">
        <v>4.6029999999999998</v>
      </c>
      <c r="AM13" s="7" t="s">
        <v>17</v>
      </c>
      <c r="AN13" s="6">
        <v>4.6029999999999998</v>
      </c>
      <c r="AO13" s="6">
        <v>4.57</v>
      </c>
      <c r="AP13" s="6">
        <v>4.57</v>
      </c>
      <c r="AQ13" s="6">
        <v>4.5670000000000002</v>
      </c>
      <c r="AR13" s="6">
        <v>4.5670000000000002</v>
      </c>
      <c r="AS13" s="6">
        <v>4.5670000000000002</v>
      </c>
      <c r="AT13" s="6"/>
      <c r="AU13" s="6"/>
      <c r="AV13" s="6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</row>
    <row r="14" spans="1:78" ht="14.4">
      <c r="A14" s="2"/>
      <c r="B14" s="13" t="s">
        <v>15</v>
      </c>
      <c r="C14" s="8">
        <v>15.55</v>
      </c>
      <c r="D14" s="8">
        <v>155.54</v>
      </c>
      <c r="E14" s="8">
        <v>101.1</v>
      </c>
      <c r="F14" s="8">
        <v>505.51</v>
      </c>
      <c r="G14" s="8">
        <f t="shared" si="3"/>
        <v>777.7</v>
      </c>
      <c r="H14" s="3">
        <v>1.5553999999999999</v>
      </c>
      <c r="I14" s="3">
        <v>2.7219500000000001</v>
      </c>
      <c r="J14" s="4">
        <v>0</v>
      </c>
      <c r="K14" s="3">
        <v>3.8885000000000001</v>
      </c>
      <c r="L14" s="8">
        <v>1166.55</v>
      </c>
      <c r="M14" s="8">
        <v>272.2</v>
      </c>
      <c r="N14" s="8">
        <f t="shared" si="2"/>
        <v>2224.6158500000001</v>
      </c>
      <c r="O14" s="10" t="s">
        <v>18</v>
      </c>
      <c r="P14" s="6">
        <v>4.2690000000000001</v>
      </c>
      <c r="Q14" s="6">
        <v>4.0579999999999998</v>
      </c>
      <c r="R14" s="6">
        <v>4.0220000000000002</v>
      </c>
      <c r="S14" s="6">
        <v>3.9870000000000001</v>
      </c>
      <c r="T14" s="6">
        <v>3.9870000000000001</v>
      </c>
      <c r="U14" s="6">
        <v>3.9870000000000001</v>
      </c>
      <c r="V14" s="6">
        <v>3.9769999999999999</v>
      </c>
      <c r="W14" s="6">
        <v>3.9769999999999999</v>
      </c>
      <c r="X14" s="6">
        <v>3.9769999999999999</v>
      </c>
      <c r="Y14" s="7" t="s">
        <v>17</v>
      </c>
      <c r="Z14" s="6">
        <v>3.9769999999999999</v>
      </c>
      <c r="AA14" s="6">
        <v>3.9769999999999999</v>
      </c>
      <c r="AB14" s="6">
        <v>3.97</v>
      </c>
      <c r="AC14" s="6">
        <v>3.97</v>
      </c>
      <c r="AD14" s="6">
        <v>3.97</v>
      </c>
      <c r="AE14" s="6">
        <v>3.97</v>
      </c>
      <c r="AF14" s="7" t="s">
        <v>17</v>
      </c>
      <c r="AG14" s="6">
        <v>3.97</v>
      </c>
      <c r="AH14" s="6">
        <v>3.968</v>
      </c>
      <c r="AI14" s="6">
        <v>3.968</v>
      </c>
      <c r="AJ14" s="6">
        <v>3.968</v>
      </c>
      <c r="AK14" s="6">
        <v>3.968</v>
      </c>
      <c r="AL14" s="6">
        <v>3.968</v>
      </c>
      <c r="AM14" s="7" t="s">
        <v>17</v>
      </c>
      <c r="AN14" s="6">
        <v>3.968</v>
      </c>
      <c r="AO14" s="6">
        <v>3.9350000000000001</v>
      </c>
      <c r="AP14" s="6">
        <v>3.9260000000000002</v>
      </c>
      <c r="AQ14" s="6">
        <v>3.911</v>
      </c>
      <c r="AR14" s="6">
        <v>3.911</v>
      </c>
      <c r="AS14" s="6">
        <v>3.911</v>
      </c>
      <c r="AT14" s="6"/>
      <c r="AU14" s="6"/>
      <c r="AV14" s="6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</row>
    <row r="15" spans="1:78" ht="14.4">
      <c r="A15" s="2"/>
      <c r="B15" s="14"/>
      <c r="C15" s="8">
        <v>15.55</v>
      </c>
      <c r="D15" s="8">
        <v>155.54</v>
      </c>
      <c r="E15" s="8">
        <v>101.1</v>
      </c>
      <c r="F15" s="8">
        <v>505.51</v>
      </c>
      <c r="G15" s="8">
        <f t="shared" si="3"/>
        <v>777.7</v>
      </c>
      <c r="H15" s="3">
        <v>1.5553999999999999</v>
      </c>
      <c r="I15" s="3">
        <v>2.7219500000000001</v>
      </c>
      <c r="J15" s="4">
        <v>0</v>
      </c>
      <c r="K15" s="3">
        <v>3.8885000000000001</v>
      </c>
      <c r="L15" s="8">
        <v>1166.55</v>
      </c>
      <c r="M15" s="8">
        <v>272.2</v>
      </c>
      <c r="N15" s="8">
        <f t="shared" si="2"/>
        <v>2224.6158500000001</v>
      </c>
      <c r="O15" s="10" t="s">
        <v>18</v>
      </c>
      <c r="P15" s="6">
        <v>3.6890000000000001</v>
      </c>
      <c r="Q15" s="6">
        <v>3.66</v>
      </c>
      <c r="R15" s="6">
        <v>3.589</v>
      </c>
      <c r="S15" s="6">
        <v>3.5190000000000001</v>
      </c>
      <c r="T15" s="6">
        <v>3.5190000000000001</v>
      </c>
      <c r="U15" s="6">
        <v>3.5190000000000001</v>
      </c>
      <c r="V15" s="6">
        <v>3.5190000000000001</v>
      </c>
      <c r="W15" s="6">
        <v>3.5190000000000001</v>
      </c>
      <c r="X15" s="6">
        <v>3.5190000000000001</v>
      </c>
      <c r="Y15" s="7" t="s">
        <v>17</v>
      </c>
      <c r="Z15" s="6">
        <v>3.5190000000000001</v>
      </c>
      <c r="AA15" s="6">
        <v>3.5190000000000001</v>
      </c>
      <c r="AB15" s="6">
        <v>3.5190000000000001</v>
      </c>
      <c r="AC15" s="6">
        <v>3.5190000000000001</v>
      </c>
      <c r="AD15" s="6">
        <v>3.5190000000000001</v>
      </c>
      <c r="AE15" s="6">
        <v>3.5190000000000001</v>
      </c>
      <c r="AF15" s="7" t="s">
        <v>17</v>
      </c>
      <c r="AG15" s="6">
        <v>3.5190000000000001</v>
      </c>
      <c r="AH15" s="6">
        <v>3.4729999999999999</v>
      </c>
      <c r="AI15" s="6">
        <v>3.4729999999999999</v>
      </c>
      <c r="AJ15" s="6">
        <v>3.4729999999999999</v>
      </c>
      <c r="AK15" s="6">
        <v>3.4729999999999999</v>
      </c>
      <c r="AL15" s="6">
        <v>3.4729999999999999</v>
      </c>
      <c r="AM15" s="7" t="s">
        <v>17</v>
      </c>
      <c r="AN15" s="6">
        <v>3.4620000000000002</v>
      </c>
      <c r="AO15" s="6">
        <v>3.444</v>
      </c>
      <c r="AP15" s="6">
        <v>3.4380000000000002</v>
      </c>
      <c r="AQ15" s="6">
        <v>3.4129999999999998</v>
      </c>
      <c r="AR15" s="6">
        <v>3.4129999999999998</v>
      </c>
      <c r="AS15" s="6">
        <v>3.4129999999999998</v>
      </c>
      <c r="AT15" s="6"/>
      <c r="AU15" s="6"/>
      <c r="AV15" s="6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</row>
    <row r="16" spans="1:78" ht="14.4">
      <c r="A16" s="2"/>
      <c r="B16" s="14"/>
      <c r="C16" s="8">
        <v>15.55</v>
      </c>
      <c r="D16" s="8">
        <v>155.54</v>
      </c>
      <c r="E16" s="8">
        <v>101.1</v>
      </c>
      <c r="F16" s="8">
        <v>505.51</v>
      </c>
      <c r="G16" s="8">
        <f t="shared" si="3"/>
        <v>777.7</v>
      </c>
      <c r="H16" s="3">
        <v>1.5553999999999999</v>
      </c>
      <c r="I16" s="3">
        <v>2.7219500000000001</v>
      </c>
      <c r="J16" s="4">
        <v>0</v>
      </c>
      <c r="K16" s="3">
        <v>3.8885000000000001</v>
      </c>
      <c r="L16" s="8">
        <v>1166.55</v>
      </c>
      <c r="M16" s="8">
        <v>272.2</v>
      </c>
      <c r="N16" s="8">
        <f t="shared" si="2"/>
        <v>2224.6158500000001</v>
      </c>
      <c r="O16" s="10" t="s">
        <v>16</v>
      </c>
      <c r="P16" s="6">
        <v>4.7539999999999996</v>
      </c>
      <c r="Q16" s="6">
        <v>4.7279999999999998</v>
      </c>
      <c r="R16" s="6">
        <v>4.72</v>
      </c>
      <c r="S16" s="6">
        <v>4.7130000000000001</v>
      </c>
      <c r="T16" s="7" t="s">
        <v>17</v>
      </c>
      <c r="U16" s="7" t="s">
        <v>17</v>
      </c>
      <c r="V16" s="7" t="s">
        <v>17</v>
      </c>
      <c r="W16" s="6">
        <v>4.6230000000000002</v>
      </c>
      <c r="X16" s="6">
        <v>4.6150000000000002</v>
      </c>
      <c r="Y16" s="6">
        <v>4.6130000000000004</v>
      </c>
      <c r="Z16" s="6">
        <v>4.5999999999999996</v>
      </c>
      <c r="AA16" s="7" t="s">
        <v>17</v>
      </c>
      <c r="AB16" s="6">
        <v>4.5999999999999996</v>
      </c>
      <c r="AC16" s="7" t="s">
        <v>17</v>
      </c>
      <c r="AD16" s="6">
        <v>4.5999999999999996</v>
      </c>
      <c r="AE16" s="6">
        <v>4.5999999999999996</v>
      </c>
      <c r="AF16" s="6">
        <v>4.585</v>
      </c>
      <c r="AG16" s="6">
        <v>4.5659999999999998</v>
      </c>
      <c r="AH16" s="7" t="s">
        <v>17</v>
      </c>
      <c r="AI16" s="6">
        <v>4.5659999999999998</v>
      </c>
      <c r="AJ16" s="6">
        <v>4.5659999999999998</v>
      </c>
      <c r="AK16" s="7" t="s">
        <v>17</v>
      </c>
      <c r="AL16" s="6">
        <v>4.5659999999999998</v>
      </c>
      <c r="AM16" s="7" t="s">
        <v>17</v>
      </c>
      <c r="AN16" s="6">
        <v>4.5659999999999998</v>
      </c>
      <c r="AO16" s="7" t="s">
        <v>17</v>
      </c>
      <c r="AP16" s="7" t="s">
        <v>17</v>
      </c>
      <c r="AQ16" s="6">
        <v>4.5659999999999998</v>
      </c>
      <c r="AR16" s="6">
        <v>4.5659999999999998</v>
      </c>
      <c r="AS16" s="7" t="s">
        <v>17</v>
      </c>
      <c r="AT16" s="6"/>
      <c r="AU16" s="6"/>
      <c r="AV16" s="6"/>
      <c r="AW16" s="6"/>
      <c r="AY16" s="6"/>
      <c r="AZ16" s="6"/>
      <c r="BA16" s="6"/>
      <c r="BB16" s="6"/>
      <c r="BC16" s="6"/>
      <c r="BD16" s="7"/>
      <c r="BE16" s="6"/>
      <c r="BF16" s="6"/>
      <c r="BG16" s="6"/>
      <c r="BH16" s="6"/>
      <c r="BI16" s="6"/>
      <c r="BJ16" s="6"/>
      <c r="BK16" s="7"/>
      <c r="BL16" s="6"/>
      <c r="BM16" s="6"/>
      <c r="BN16" s="6"/>
      <c r="BO16" s="6"/>
      <c r="BP16" s="6"/>
      <c r="BQ16" s="6"/>
      <c r="BR16" s="7"/>
      <c r="BS16" s="6"/>
      <c r="BT16" s="6"/>
      <c r="BU16" s="6"/>
      <c r="BV16" s="6"/>
      <c r="BW16" s="6"/>
    </row>
    <row r="17" spans="1:76" ht="14.4">
      <c r="A17" s="2"/>
      <c r="B17" s="14"/>
      <c r="C17" s="8">
        <v>15.55</v>
      </c>
      <c r="D17" s="8">
        <v>155.54</v>
      </c>
      <c r="E17" s="8">
        <v>101.1</v>
      </c>
      <c r="F17" s="8">
        <v>505.51</v>
      </c>
      <c r="G17" s="8">
        <f t="shared" si="3"/>
        <v>777.7</v>
      </c>
      <c r="H17" s="3">
        <v>1.5553999999999999</v>
      </c>
      <c r="I17" s="3">
        <v>2.7219500000000001</v>
      </c>
      <c r="J17" s="4">
        <v>0</v>
      </c>
      <c r="K17" s="3">
        <v>3.8885000000000001</v>
      </c>
      <c r="L17" s="8">
        <v>1166.55</v>
      </c>
      <c r="M17" s="8">
        <v>272.2</v>
      </c>
      <c r="N17" s="8">
        <f t="shared" si="2"/>
        <v>2224.6158500000001</v>
      </c>
      <c r="O17" s="10" t="s">
        <v>16</v>
      </c>
      <c r="P17" s="6">
        <v>4.9740000000000002</v>
      </c>
      <c r="Q17" s="6">
        <v>4.9480000000000004</v>
      </c>
      <c r="R17" s="6">
        <v>4.9450000000000003</v>
      </c>
      <c r="S17" s="6">
        <v>4.931</v>
      </c>
      <c r="T17" s="7" t="s">
        <v>17</v>
      </c>
      <c r="U17" s="7" t="s">
        <v>17</v>
      </c>
      <c r="V17" s="7" t="s">
        <v>17</v>
      </c>
      <c r="W17" s="6">
        <v>4.859</v>
      </c>
      <c r="X17" s="6">
        <v>4.8529999999999998</v>
      </c>
      <c r="Y17" s="6">
        <v>4.8209999999999997</v>
      </c>
      <c r="Z17" s="6">
        <v>4.8209999999999997</v>
      </c>
      <c r="AA17" s="7" t="s">
        <v>17</v>
      </c>
      <c r="AB17" s="6">
        <v>4.8209999999999997</v>
      </c>
      <c r="AC17" s="7" t="s">
        <v>17</v>
      </c>
      <c r="AD17" s="6">
        <v>4.8209999999999997</v>
      </c>
      <c r="AE17" s="6">
        <v>4.8209999999999997</v>
      </c>
      <c r="AF17" s="6">
        <v>4.798</v>
      </c>
      <c r="AG17" s="6">
        <v>4.758</v>
      </c>
      <c r="AH17" s="7" t="s">
        <v>17</v>
      </c>
      <c r="AI17" s="6">
        <v>4.758</v>
      </c>
      <c r="AJ17" s="6">
        <v>4.758</v>
      </c>
      <c r="AK17" s="7" t="s">
        <v>17</v>
      </c>
      <c r="AL17" s="6">
        <v>4.758</v>
      </c>
      <c r="AM17" s="7" t="s">
        <v>17</v>
      </c>
      <c r="AN17" s="6">
        <v>4.758</v>
      </c>
      <c r="AO17" s="7" t="s">
        <v>17</v>
      </c>
      <c r="AP17" s="7" t="s">
        <v>17</v>
      </c>
      <c r="AQ17" s="6">
        <v>4.758</v>
      </c>
      <c r="AR17" s="6">
        <v>4.758</v>
      </c>
      <c r="AS17" s="7" t="s">
        <v>17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7"/>
      <c r="BE17" s="6"/>
      <c r="BG17" s="6"/>
      <c r="BH17" s="6"/>
      <c r="BI17" s="6"/>
      <c r="BJ17" s="6"/>
      <c r="BK17" s="7"/>
      <c r="BL17" s="6"/>
      <c r="BM17" s="6"/>
      <c r="BN17" s="6"/>
      <c r="BO17" s="6"/>
      <c r="BP17" s="6"/>
      <c r="BQ17" s="6"/>
      <c r="BR17" s="7"/>
      <c r="BS17" s="6"/>
      <c r="BT17" s="6"/>
      <c r="BU17" s="6"/>
      <c r="BV17" s="6"/>
      <c r="BW17" s="6"/>
      <c r="BX17" s="6"/>
    </row>
    <row r="18" spans="1:76" ht="14.4">
      <c r="A18" s="2"/>
      <c r="B18" s="15"/>
      <c r="C18" s="8">
        <v>15.55</v>
      </c>
      <c r="D18" s="8">
        <v>155.54</v>
      </c>
      <c r="E18" s="8">
        <v>101.1</v>
      </c>
      <c r="F18" s="8">
        <v>505.51</v>
      </c>
      <c r="G18" s="8">
        <f t="shared" si="3"/>
        <v>777.7</v>
      </c>
      <c r="H18" s="3">
        <v>1.5553999999999999</v>
      </c>
      <c r="I18" s="3">
        <v>2.7219500000000001</v>
      </c>
      <c r="J18" s="4">
        <v>0</v>
      </c>
      <c r="K18" s="3">
        <v>3.8885000000000001</v>
      </c>
      <c r="L18" s="8">
        <v>1166.55</v>
      </c>
      <c r="M18" s="8">
        <v>272.2</v>
      </c>
      <c r="N18" s="8">
        <f t="shared" si="2"/>
        <v>2224.6158500000001</v>
      </c>
      <c r="O18" s="10" t="s">
        <v>16</v>
      </c>
      <c r="P18" s="6">
        <v>5.069</v>
      </c>
      <c r="Q18" s="6">
        <v>5.0910000000000002</v>
      </c>
      <c r="R18" s="6">
        <v>5.0110000000000001</v>
      </c>
      <c r="S18" s="6">
        <v>5.0010000000000003</v>
      </c>
      <c r="T18" s="7" t="s">
        <v>17</v>
      </c>
      <c r="U18" s="7" t="s">
        <v>17</v>
      </c>
      <c r="V18" s="7" t="s">
        <v>17</v>
      </c>
      <c r="W18" s="6">
        <v>4.8819999999999997</v>
      </c>
      <c r="X18" s="6">
        <v>4.8819999999999997</v>
      </c>
      <c r="Y18" s="6">
        <v>4.8819999999999997</v>
      </c>
      <c r="Z18" s="6">
        <v>4.8819999999999997</v>
      </c>
      <c r="AA18" s="7" t="s">
        <v>17</v>
      </c>
      <c r="AB18" s="6">
        <v>4.8819999999999997</v>
      </c>
      <c r="AC18" s="7" t="s">
        <v>17</v>
      </c>
      <c r="AD18" s="6">
        <v>4.8819999999999997</v>
      </c>
      <c r="AE18" s="6">
        <v>4.8819999999999997</v>
      </c>
      <c r="AF18" s="6">
        <v>4.867</v>
      </c>
      <c r="AG18" s="6">
        <v>4.8369999999999997</v>
      </c>
      <c r="AH18" s="7" t="s">
        <v>17</v>
      </c>
      <c r="AI18" s="6">
        <v>4.8369999999999997</v>
      </c>
      <c r="AJ18" s="6">
        <v>4.8369999999999997</v>
      </c>
      <c r="AK18" s="7" t="s">
        <v>17</v>
      </c>
      <c r="AL18" s="6">
        <v>4.8369999999999997</v>
      </c>
      <c r="AM18" s="7" t="s">
        <v>17</v>
      </c>
      <c r="AN18" s="6">
        <v>4.8369999999999997</v>
      </c>
      <c r="AO18" s="7" t="s">
        <v>17</v>
      </c>
      <c r="AP18" s="7" t="s">
        <v>17</v>
      </c>
      <c r="AQ18" s="6">
        <v>4.8369999999999997</v>
      </c>
      <c r="AR18" s="6">
        <v>4.8369999999999997</v>
      </c>
      <c r="AS18" s="7" t="s">
        <v>17</v>
      </c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7"/>
      <c r="BE18" s="6"/>
      <c r="BF18" s="6"/>
      <c r="BG18" s="6"/>
      <c r="BH18" s="6"/>
      <c r="BI18" s="6"/>
      <c r="BJ18" s="6"/>
      <c r="BK18" s="7"/>
      <c r="BL18" s="6"/>
      <c r="BM18" s="6"/>
      <c r="BN18" s="6"/>
      <c r="BO18" s="6"/>
      <c r="BP18" s="6"/>
      <c r="BQ18" s="6"/>
      <c r="BR18" s="7"/>
      <c r="BS18" s="6"/>
      <c r="BT18" s="6"/>
      <c r="BU18" s="6"/>
      <c r="BV18" s="6"/>
      <c r="BW18" s="6"/>
      <c r="BX18" s="6"/>
    </row>
    <row r="19" spans="1:76" ht="14.4">
      <c r="A19" s="2"/>
      <c r="B19" s="13" t="s">
        <v>15</v>
      </c>
      <c r="C19" s="8">
        <v>15.55</v>
      </c>
      <c r="D19" s="8">
        <v>155.54</v>
      </c>
      <c r="E19" s="8">
        <v>101.1</v>
      </c>
      <c r="F19" s="8">
        <v>505.51</v>
      </c>
      <c r="G19" s="8">
        <f t="shared" si="3"/>
        <v>777.7</v>
      </c>
      <c r="H19" s="3">
        <v>1.5553999999999999</v>
      </c>
      <c r="I19" s="3">
        <v>2.7219500000000001</v>
      </c>
      <c r="J19" s="4">
        <v>0</v>
      </c>
      <c r="K19" s="3">
        <v>1.944</v>
      </c>
      <c r="L19" s="8">
        <v>1166.55</v>
      </c>
      <c r="M19" s="8">
        <v>272.2</v>
      </c>
      <c r="N19" s="8">
        <f t="shared" si="2"/>
        <v>2222.6713500000001</v>
      </c>
      <c r="O19" s="10" t="s">
        <v>18</v>
      </c>
      <c r="P19" s="6">
        <v>5.202</v>
      </c>
      <c r="Q19" s="6">
        <v>5.03</v>
      </c>
      <c r="R19" s="6">
        <v>4.9969999999999999</v>
      </c>
      <c r="S19" s="6">
        <v>4.9640000000000004</v>
      </c>
      <c r="T19" s="6">
        <v>4.9539999999999997</v>
      </c>
      <c r="U19" s="6">
        <v>4.9539999999999997</v>
      </c>
      <c r="V19" s="6">
        <v>4.9509999999999996</v>
      </c>
      <c r="W19" s="6">
        <v>4.95</v>
      </c>
      <c r="X19" s="6">
        <v>4.95</v>
      </c>
      <c r="Y19" s="7" t="s">
        <v>17</v>
      </c>
      <c r="Z19" s="6">
        <v>4.95</v>
      </c>
      <c r="AA19" s="6">
        <v>4.95</v>
      </c>
      <c r="AB19" s="6">
        <v>4.95</v>
      </c>
      <c r="AC19" s="6">
        <v>4.95</v>
      </c>
      <c r="AD19" s="6">
        <v>4.9329999999999998</v>
      </c>
      <c r="AE19" s="6">
        <v>4.9329999999999998</v>
      </c>
      <c r="AF19" s="7" t="s">
        <v>17</v>
      </c>
      <c r="AG19" s="6">
        <v>4.9329999999999998</v>
      </c>
      <c r="AH19" s="6">
        <v>4.9240000000000004</v>
      </c>
      <c r="AI19" s="6">
        <v>4.9240000000000004</v>
      </c>
      <c r="AJ19" s="6">
        <v>4.9240000000000004</v>
      </c>
      <c r="AK19" s="6">
        <v>4.9240000000000004</v>
      </c>
      <c r="AL19" s="6">
        <v>4.9240000000000004</v>
      </c>
      <c r="AM19" s="7" t="s">
        <v>17</v>
      </c>
      <c r="AN19" s="6">
        <v>4.9240000000000004</v>
      </c>
      <c r="AO19" s="6">
        <v>4.8940000000000001</v>
      </c>
      <c r="AP19" s="6">
        <v>4.8940000000000001</v>
      </c>
      <c r="AQ19" s="6">
        <v>4.8529999999999998</v>
      </c>
      <c r="AR19" s="6">
        <v>4.8529999999999998</v>
      </c>
      <c r="AS19" s="6">
        <v>4.8529999999999998</v>
      </c>
      <c r="AT19" s="6"/>
      <c r="AU19" s="6"/>
      <c r="AV19" s="6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6"/>
    </row>
    <row r="20" spans="1:76" ht="14.4">
      <c r="A20" s="2"/>
      <c r="B20" s="14"/>
      <c r="C20" s="8">
        <v>15.55</v>
      </c>
      <c r="D20" s="8">
        <v>155.54</v>
      </c>
      <c r="E20" s="8">
        <v>101.1</v>
      </c>
      <c r="F20" s="8">
        <v>505.51</v>
      </c>
      <c r="G20" s="8">
        <f t="shared" si="3"/>
        <v>777.7</v>
      </c>
      <c r="H20" s="3">
        <v>1.5553999999999999</v>
      </c>
      <c r="I20" s="3">
        <v>2.7219500000000001</v>
      </c>
      <c r="J20" s="4">
        <v>0</v>
      </c>
      <c r="K20" s="3">
        <v>1.944</v>
      </c>
      <c r="L20" s="8">
        <v>1166.55</v>
      </c>
      <c r="M20" s="8">
        <v>272.2</v>
      </c>
      <c r="N20" s="8">
        <f t="shared" si="2"/>
        <v>2222.6713500000001</v>
      </c>
      <c r="O20" s="10" t="s">
        <v>18</v>
      </c>
      <c r="P20" s="6">
        <v>3.399</v>
      </c>
      <c r="Q20" s="6">
        <v>3.2669999999999999</v>
      </c>
      <c r="R20" s="6">
        <v>3.2290000000000001</v>
      </c>
      <c r="S20" s="6">
        <v>3.1909999999999998</v>
      </c>
      <c r="T20" s="6">
        <v>3.1909999999999998</v>
      </c>
      <c r="U20" s="6">
        <v>3.1909999999999998</v>
      </c>
      <c r="V20" s="6">
        <v>3.19</v>
      </c>
      <c r="W20" s="6">
        <v>3.19</v>
      </c>
      <c r="X20" s="6">
        <v>3.19</v>
      </c>
      <c r="Y20" s="7" t="s">
        <v>17</v>
      </c>
      <c r="Z20" s="6">
        <v>3.1829999999999998</v>
      </c>
      <c r="AA20" s="6">
        <v>3.1829999999999998</v>
      </c>
      <c r="AB20" s="6">
        <v>3.1829999999999998</v>
      </c>
      <c r="AC20" s="6">
        <v>3.1680000000000001</v>
      </c>
      <c r="AD20" s="6">
        <v>3.1680000000000001</v>
      </c>
      <c r="AE20" s="6">
        <v>3.1560000000000001</v>
      </c>
      <c r="AF20" s="7" t="s">
        <v>17</v>
      </c>
      <c r="AG20" s="6">
        <v>3.1560000000000001</v>
      </c>
      <c r="AH20" s="6">
        <v>3.1560000000000001</v>
      </c>
      <c r="AI20" s="6">
        <v>3.1560000000000001</v>
      </c>
      <c r="AJ20" s="6">
        <v>3.1560000000000001</v>
      </c>
      <c r="AK20" s="6">
        <v>3.1560000000000001</v>
      </c>
      <c r="AL20" s="6">
        <v>3.1560000000000001</v>
      </c>
      <c r="AM20" s="7" t="s">
        <v>17</v>
      </c>
      <c r="AN20" s="6">
        <v>3.1560000000000001</v>
      </c>
      <c r="AO20" s="6">
        <v>3.137</v>
      </c>
      <c r="AP20" s="6">
        <v>3.1339999999999999</v>
      </c>
      <c r="AQ20" s="6">
        <v>3.1120000000000001</v>
      </c>
      <c r="AR20" s="6">
        <v>3.1120000000000001</v>
      </c>
      <c r="AS20" s="6">
        <v>3.1120000000000001</v>
      </c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</row>
    <row r="21" spans="1:76" ht="15.75" customHeight="1">
      <c r="A21" s="2"/>
      <c r="B21" s="14"/>
      <c r="C21" s="8">
        <v>15.55</v>
      </c>
      <c r="D21" s="8">
        <v>155.54</v>
      </c>
      <c r="E21" s="8">
        <v>101.1</v>
      </c>
      <c r="F21" s="8">
        <v>505.51</v>
      </c>
      <c r="G21" s="8">
        <f t="shared" si="3"/>
        <v>777.7</v>
      </c>
      <c r="H21" s="3">
        <v>1.5553999999999999</v>
      </c>
      <c r="I21" s="3">
        <v>2.7219500000000001</v>
      </c>
      <c r="J21" s="4">
        <v>0</v>
      </c>
      <c r="K21" s="3">
        <v>1.944</v>
      </c>
      <c r="L21" s="8">
        <v>1166.55</v>
      </c>
      <c r="M21" s="8">
        <v>272.2</v>
      </c>
      <c r="N21" s="8">
        <f t="shared" si="2"/>
        <v>2222.6713500000001</v>
      </c>
      <c r="O21" s="10" t="s">
        <v>16</v>
      </c>
      <c r="P21" s="6">
        <v>6.0430000000000001</v>
      </c>
      <c r="Q21" s="6">
        <v>5.92</v>
      </c>
      <c r="R21" s="6">
        <v>5.88</v>
      </c>
      <c r="S21" s="6">
        <v>5.85</v>
      </c>
      <c r="T21" s="6">
        <v>5.85</v>
      </c>
      <c r="U21" s="6">
        <v>5.85</v>
      </c>
      <c r="V21" s="6">
        <v>5.8490000000000002</v>
      </c>
      <c r="W21" s="6">
        <v>5.8490000000000002</v>
      </c>
      <c r="X21" s="6">
        <v>5.8490000000000002</v>
      </c>
      <c r="Y21" s="7" t="s">
        <v>17</v>
      </c>
      <c r="Z21" s="6">
        <v>5.8289999999999997</v>
      </c>
      <c r="AA21" s="6">
        <v>5.8289999999999997</v>
      </c>
      <c r="AB21" s="6">
        <v>5.8289999999999997</v>
      </c>
      <c r="AC21" s="6">
        <v>5.8289999999999997</v>
      </c>
      <c r="AD21" s="6">
        <v>5.827</v>
      </c>
      <c r="AE21" s="6">
        <v>5.827</v>
      </c>
      <c r="AF21" s="7" t="s">
        <v>17</v>
      </c>
      <c r="AG21" s="6">
        <v>5.827</v>
      </c>
      <c r="AH21" s="6">
        <v>5.8109999999999999</v>
      </c>
      <c r="AI21" s="6">
        <v>5.8109999999999999</v>
      </c>
      <c r="AJ21" s="6">
        <v>5.8109999999999999</v>
      </c>
      <c r="AK21" s="6">
        <v>5.8109999999999999</v>
      </c>
      <c r="AL21" s="6">
        <v>5.8109999999999999</v>
      </c>
      <c r="AM21" s="7" t="s">
        <v>17</v>
      </c>
      <c r="AN21" s="6">
        <v>5.8109999999999999</v>
      </c>
      <c r="AO21" s="6">
        <v>5.8109999999999999</v>
      </c>
      <c r="AP21" s="6">
        <v>5.7809999999999997</v>
      </c>
      <c r="AQ21" s="6">
        <v>5.7779999999999996</v>
      </c>
      <c r="AR21" s="6">
        <v>5.7779999999999996</v>
      </c>
      <c r="AS21" s="6">
        <v>5.7779999999999996</v>
      </c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</row>
    <row r="22" spans="1:76" ht="15.75" customHeight="1">
      <c r="A22" s="2"/>
      <c r="B22" s="15"/>
      <c r="C22" s="11">
        <v>15.55</v>
      </c>
      <c r="D22" s="8">
        <v>155.54</v>
      </c>
      <c r="E22" s="8">
        <v>101.1</v>
      </c>
      <c r="F22" s="8">
        <v>505.51</v>
      </c>
      <c r="G22" s="8">
        <f t="shared" si="3"/>
        <v>777.7</v>
      </c>
      <c r="H22" s="11">
        <v>1.5553999999999999</v>
      </c>
      <c r="I22" s="11">
        <v>2.7219500000000001</v>
      </c>
      <c r="J22" s="12">
        <v>0</v>
      </c>
      <c r="K22" s="11">
        <v>1.944</v>
      </c>
      <c r="L22" s="8">
        <v>1166.55</v>
      </c>
      <c r="M22" s="8">
        <v>272.2</v>
      </c>
      <c r="N22" s="8">
        <f t="shared" si="2"/>
        <v>2222.6713500000001</v>
      </c>
      <c r="O22" s="10" t="s">
        <v>16</v>
      </c>
      <c r="P22" s="6">
        <v>4.3899999999999997</v>
      </c>
      <c r="Q22" s="6">
        <v>4.2670000000000003</v>
      </c>
      <c r="R22" s="6">
        <v>4.2480000000000002</v>
      </c>
      <c r="S22" s="6">
        <v>4.2290000000000001</v>
      </c>
      <c r="T22" s="6">
        <v>4.1840000000000002</v>
      </c>
      <c r="U22" s="6">
        <v>4.1840000000000002</v>
      </c>
      <c r="V22" s="6">
        <v>4.1660000000000004</v>
      </c>
      <c r="W22" s="6">
        <v>4.1660000000000004</v>
      </c>
      <c r="X22" s="6">
        <v>4.1660000000000004</v>
      </c>
      <c r="Y22" s="7" t="s">
        <v>17</v>
      </c>
      <c r="Z22" s="6">
        <v>4.1589999999999998</v>
      </c>
      <c r="AA22" s="6">
        <v>4.1589999999999998</v>
      </c>
      <c r="AB22" s="6">
        <v>4.1589999999999998</v>
      </c>
      <c r="AC22" s="6">
        <v>4.1529999999999996</v>
      </c>
      <c r="AD22" s="6">
        <v>4.1529999999999996</v>
      </c>
      <c r="AE22" s="6">
        <v>4.141</v>
      </c>
      <c r="AF22" s="7" t="s">
        <v>17</v>
      </c>
      <c r="AG22" s="6">
        <v>4.141</v>
      </c>
      <c r="AH22" s="6">
        <v>4.141</v>
      </c>
      <c r="AI22" s="6">
        <v>4.141</v>
      </c>
      <c r="AJ22" s="6">
        <v>4.141</v>
      </c>
      <c r="AK22" s="6">
        <v>4.141</v>
      </c>
      <c r="AL22" s="6">
        <v>4.141</v>
      </c>
      <c r="AM22" s="7" t="s">
        <v>17</v>
      </c>
      <c r="AN22" s="6">
        <v>4.141</v>
      </c>
      <c r="AO22" s="6">
        <v>4.109</v>
      </c>
      <c r="AP22" s="6">
        <v>4.109</v>
      </c>
      <c r="AQ22" s="6">
        <v>4.0999999999999996</v>
      </c>
      <c r="AR22" s="6">
        <v>4.0999999999999996</v>
      </c>
      <c r="AS22" s="6">
        <v>4.0999999999999996</v>
      </c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</row>
    <row r="23" spans="1:76" ht="15.75" customHeight="1">
      <c r="C23" s="2"/>
    </row>
    <row r="24" spans="1:76" ht="15.75" customHeight="1">
      <c r="C24" s="2"/>
    </row>
    <row r="25" spans="1:76" ht="15.75" customHeight="1">
      <c r="C25" s="2"/>
    </row>
    <row r="26" spans="1:76" ht="15.75" customHeight="1">
      <c r="C26" s="2"/>
    </row>
    <row r="27" spans="1:76" ht="15.75" customHeight="1"/>
    <row r="28" spans="1:76" ht="15.75" customHeight="1"/>
    <row r="29" spans="1:76" ht="15.75" customHeight="1"/>
    <row r="30" spans="1:76" ht="15.75" customHeight="1"/>
    <row r="31" spans="1:76" ht="15.75" customHeight="1"/>
    <row r="32" spans="1:7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N2:N5"/>
    <mergeCell ref="B6:B9"/>
    <mergeCell ref="B10:B13"/>
    <mergeCell ref="B14:B18"/>
    <mergeCell ref="B19:B22"/>
    <mergeCell ref="B2:B5"/>
    <mergeCell ref="C2:C5"/>
    <mergeCell ref="D2:D5"/>
    <mergeCell ref="E2:E5"/>
    <mergeCell ref="F2:F5"/>
    <mergeCell ref="G2:G5"/>
    <mergeCell ref="H2:H5"/>
    <mergeCell ref="I2:I5"/>
    <mergeCell ref="J2:J5"/>
    <mergeCell ref="K2:K5"/>
    <mergeCell ref="L2:L5"/>
    <mergeCell ref="M2:M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Jeetu Modi</dc:creator>
  <cp:lastModifiedBy>Jeetu Modi</cp:lastModifiedBy>
  <dcterms:created xsi:type="dcterms:W3CDTF">2025-12-03T15:29:06Z</dcterms:created>
  <dcterms:modified xsi:type="dcterms:W3CDTF">2025-12-03T15:29:06Z</dcterms:modified>
</cp:coreProperties>
</file>