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eetu\Desktop\Projects\Capstone\data exploration\"/>
    </mc:Choice>
  </mc:AlternateContent>
  <xr:revisionPtr revIDLastSave="0" documentId="8_{680148BC-D1AB-4A5D-9008-0796F748C9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N18" i="1" s="1"/>
  <c r="G17" i="1"/>
  <c r="N17" i="1" s="1"/>
  <c r="G16" i="1"/>
  <c r="N16" i="1" s="1"/>
  <c r="G15" i="1"/>
  <c r="N15" i="1" s="1"/>
  <c r="G14" i="1"/>
  <c r="N14" i="1" s="1"/>
  <c r="G13" i="1"/>
  <c r="N13" i="1" s="1"/>
  <c r="G12" i="1"/>
  <c r="N12" i="1" s="1"/>
  <c r="G11" i="1"/>
  <c r="N11" i="1" s="1"/>
  <c r="G10" i="1"/>
  <c r="N10" i="1" s="1"/>
  <c r="G9" i="1"/>
  <c r="N9" i="1" s="1"/>
  <c r="G8" i="1"/>
  <c r="N8" i="1" s="1"/>
  <c r="G7" i="1"/>
  <c r="N7" i="1" s="1"/>
  <c r="G6" i="1"/>
  <c r="N6" i="1" s="1"/>
  <c r="G5" i="1"/>
  <c r="N5" i="1" s="1"/>
  <c r="G4" i="1"/>
  <c r="N4" i="1" s="1"/>
  <c r="G3" i="1"/>
  <c r="N3" i="1" s="1"/>
  <c r="G2" i="1"/>
  <c r="N2" i="1" s="1"/>
</calcChain>
</file>

<file path=xl/sharedStrings.xml><?xml version="1.0" encoding="utf-8"?>
<sst xmlns="http://schemas.openxmlformats.org/spreadsheetml/2006/main" count="155" uniqueCount="48">
  <si>
    <t>Nano-Silica</t>
  </si>
  <si>
    <t>SP</t>
  </si>
  <si>
    <t>VMA</t>
  </si>
  <si>
    <t>Sand</t>
  </si>
  <si>
    <t>Water</t>
  </si>
  <si>
    <t>O65F20U13NS2</t>
  </si>
  <si>
    <t>Cast</t>
  </si>
  <si>
    <t>None</t>
  </si>
  <si>
    <t>Printed</t>
  </si>
  <si>
    <t>print_type</t>
  </si>
  <si>
    <t>Mix_Weight</t>
  </si>
  <si>
    <t>PP_fiber</t>
  </si>
  <si>
    <t>Glass_fiber</t>
  </si>
  <si>
    <t>Binder_Weight</t>
  </si>
  <si>
    <t>Ordinary_Portland_Cement</t>
  </si>
  <si>
    <t>Ultrafine_Fly_ash</t>
  </si>
  <si>
    <t>Fly_ash</t>
  </si>
  <si>
    <t>Mix_name</t>
  </si>
  <si>
    <t>day_01</t>
  </si>
  <si>
    <t>day_02</t>
  </si>
  <si>
    <t>day_03</t>
  </si>
  <si>
    <t>day_04</t>
  </si>
  <si>
    <t>day_05</t>
  </si>
  <si>
    <t>day_06</t>
  </si>
  <si>
    <t>day_07</t>
  </si>
  <si>
    <t>day_08</t>
  </si>
  <si>
    <t>day_09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</si>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</sst>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 applyAlignment="1">
      <alignment vertical="center" readingOrder="2"/>
    </xf>
    <xf numFmtId="0" fontId="3" fillId="0" borderId="0" xfId="0" applyFont="1" applyBorder="1" applyAlignment="1">
      <alignment vertical="center" wrapText="1" readingOrder="2"/>
    </xf>
    <xf numFmtId="0" fontId="2" fillId="0" borderId="0" xfId="0" applyFont="1" applyBorder="1" applyAlignment="1">
      <alignment vertical="center" wrapText="1" readingOrder="2"/>
    </xf>
    <xf numFmtId="0" fontId="1" fillId="0" borderId="0" xfId="0" applyFont="1" applyBorder="1" applyAlignment="1">
      <alignment vertical="center" readingOrder="2"/>
    </xf>
    <xf numFmtId="0" fontId="2" fillId="0" borderId="0" xfId="0" applyFont="1" applyBorder="1" applyAlignment="1">
      <alignment vertical="center" readingOrder="2"/>
    </xf>
    <xf numFmtId="10" fontId="2" fillId="0" borderId="0" xfId="0" applyNumberFormat="1" applyFont="1" applyBorder="1" applyAlignment="1">
      <alignment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1000"/>
  <sheetViews>
    <sheetView tabSelected="1" zoomScale="85" zoomScaleNormal="85" workbookViewId="0">
      <selection activeCell="A21" sqref="A21"/>
    </sheetView>
  </sheetViews>
  <sheetFormatPr defaultColWidth="14.44140625" defaultRowHeight="15" customHeight="1" x14ac:dyDescent="0.3"/>
  <cols>
    <col min="1" max="2" width="22.6640625" style="1" customWidth="1"/>
    <col min="3" max="3" width="11.6640625" style="1" customWidth="1"/>
    <col min="4" max="4" width="8.6640625" style="1" customWidth="1"/>
    <col min="5" max="5" width="15.88671875" style="1" customWidth="1"/>
    <col min="6" max="6" width="23.88671875" style="1" customWidth="1"/>
    <col min="7" max="7" width="15" style="1" customWidth="1"/>
    <col min="8" max="9" width="8.6640625" style="1" customWidth="1"/>
    <col min="10" max="10" width="12.33203125" style="1" customWidth="1"/>
    <col min="11" max="13" width="8.6640625" style="1" customWidth="1"/>
    <col min="14" max="14" width="12.88671875" style="1" customWidth="1"/>
    <col min="15" max="15" width="11.77734375" style="1" customWidth="1"/>
    <col min="16" max="78" width="8.6640625" style="1" customWidth="1"/>
    <col min="79" max="16384" width="14.44140625" style="1"/>
  </cols>
  <sheetData>
    <row r="1" spans="1:78" ht="14.4" x14ac:dyDescent="0.3">
      <c r="B1" s="2" t="s">
        <v>17</v>
      </c>
      <c r="C1" s="2" t="s">
        <v>0</v>
      </c>
      <c r="D1" s="2" t="s">
        <v>16</v>
      </c>
      <c r="E1" s="2" t="s">
        <v>15</v>
      </c>
      <c r="F1" s="2" t="s">
        <v>14</v>
      </c>
      <c r="G1" s="2" t="s">
        <v>13</v>
      </c>
      <c r="H1" s="3" t="s">
        <v>1</v>
      </c>
      <c r="I1" s="3" t="s">
        <v>2</v>
      </c>
      <c r="J1" s="2" t="s">
        <v>12</v>
      </c>
      <c r="K1" s="2" t="s">
        <v>11</v>
      </c>
      <c r="L1" s="3" t="s">
        <v>3</v>
      </c>
      <c r="M1" s="3" t="s">
        <v>4</v>
      </c>
      <c r="N1" s="2" t="s">
        <v>10</v>
      </c>
      <c r="O1" s="2" t="s">
        <v>9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3"/>
      <c r="AU1" s="3"/>
      <c r="AV1" s="3"/>
      <c r="AW1" s="3"/>
      <c r="AX1" s="3"/>
      <c r="AY1" s="3"/>
      <c r="AZ1" s="3"/>
      <c r="BA1" s="3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</row>
    <row r="2" spans="1:78" ht="14.4" x14ac:dyDescent="0.3">
      <c r="A2" s="3"/>
      <c r="B2" s="3" t="s">
        <v>5</v>
      </c>
      <c r="C2" s="3">
        <v>15.55</v>
      </c>
      <c r="D2" s="3">
        <v>155.54</v>
      </c>
      <c r="E2" s="3">
        <v>101.1</v>
      </c>
      <c r="F2" s="3">
        <v>505.51</v>
      </c>
      <c r="G2" s="3">
        <f t="shared" ref="G2:G3" si="0">C2+D2+E2+F2</f>
        <v>777.7</v>
      </c>
      <c r="H2" s="3">
        <v>0.77769999999999995</v>
      </c>
      <c r="I2" s="3">
        <v>2.7219500000000001</v>
      </c>
      <c r="J2" s="3">
        <v>3.8885000000000001</v>
      </c>
      <c r="K2" s="3">
        <v>0</v>
      </c>
      <c r="L2" s="3">
        <v>1166.55</v>
      </c>
      <c r="M2" s="3">
        <v>272.2</v>
      </c>
      <c r="N2" s="3">
        <f t="shared" ref="N2:N3" si="1">L2+M2+G2+H2+I2+J2+K2</f>
        <v>2223.83815</v>
      </c>
      <c r="O2" s="3" t="s">
        <v>6</v>
      </c>
      <c r="P2" s="5">
        <v>4.258</v>
      </c>
      <c r="Q2" s="3">
        <v>4.2939999999999996</v>
      </c>
      <c r="R2" s="3">
        <v>4.2939999999999996</v>
      </c>
      <c r="S2" s="3">
        <v>4.2530000000000001</v>
      </c>
      <c r="T2" s="3">
        <v>4.2380000000000004</v>
      </c>
      <c r="U2" s="3">
        <v>4.2229999999999999</v>
      </c>
      <c r="V2" s="3">
        <v>4.2160000000000002</v>
      </c>
      <c r="W2" s="3">
        <v>4.2160000000000002</v>
      </c>
      <c r="X2" s="3">
        <v>4.2160000000000002</v>
      </c>
      <c r="Y2" s="3">
        <v>4.2160000000000002</v>
      </c>
      <c r="Z2" s="3">
        <v>4.2160000000000002</v>
      </c>
      <c r="AA2" s="3" t="s">
        <v>7</v>
      </c>
      <c r="AB2" s="3">
        <v>4.194</v>
      </c>
      <c r="AC2" s="3">
        <v>4.194</v>
      </c>
      <c r="AD2" s="3">
        <v>4.1870000000000003</v>
      </c>
      <c r="AE2" s="3">
        <v>4.1870000000000003</v>
      </c>
      <c r="AF2" s="3">
        <v>4.1870000000000003</v>
      </c>
      <c r="AG2" s="3">
        <v>4.1829999999999998</v>
      </c>
      <c r="AH2" s="3" t="s">
        <v>7</v>
      </c>
      <c r="AI2" s="3">
        <v>4.1829999999999998</v>
      </c>
      <c r="AJ2" s="3">
        <v>4.1580000000000004</v>
      </c>
      <c r="AK2" s="3">
        <v>4.1769999999999996</v>
      </c>
      <c r="AL2" s="3">
        <v>4.1769999999999996</v>
      </c>
      <c r="AM2" s="3">
        <v>4.1769999999999996</v>
      </c>
      <c r="AN2" s="3">
        <v>4.1769999999999996</v>
      </c>
      <c r="AO2" s="3" t="s">
        <v>7</v>
      </c>
      <c r="AP2" s="3">
        <v>4.1769999999999996</v>
      </c>
      <c r="AQ2" s="3">
        <v>4.1580000000000004</v>
      </c>
      <c r="AR2" s="3">
        <v>4.1550000000000002</v>
      </c>
      <c r="AS2" s="3">
        <v>4.1230000000000002</v>
      </c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</row>
    <row r="3" spans="1:78" ht="14.4" x14ac:dyDescent="0.3">
      <c r="A3" s="3"/>
      <c r="B3" s="3" t="s">
        <v>5</v>
      </c>
      <c r="C3" s="3">
        <v>15.55</v>
      </c>
      <c r="D3" s="3">
        <v>155.54</v>
      </c>
      <c r="E3" s="3">
        <v>101.1</v>
      </c>
      <c r="F3" s="3">
        <v>505.51</v>
      </c>
      <c r="G3" s="3">
        <f t="shared" si="0"/>
        <v>777.7</v>
      </c>
      <c r="H3" s="3">
        <v>0.77769999999999995</v>
      </c>
      <c r="I3" s="3">
        <v>2.7219500000000001</v>
      </c>
      <c r="J3" s="3">
        <v>3.8885000000000001</v>
      </c>
      <c r="K3" s="3">
        <v>0</v>
      </c>
      <c r="L3" s="3">
        <v>1166.55</v>
      </c>
      <c r="M3" s="3">
        <v>272.2</v>
      </c>
      <c r="N3" s="3">
        <f t="shared" si="1"/>
        <v>2223.83815</v>
      </c>
      <c r="O3" s="3" t="s">
        <v>6</v>
      </c>
      <c r="P3" s="3">
        <v>3.4990000000000001</v>
      </c>
      <c r="Q3" s="3">
        <v>3.468</v>
      </c>
      <c r="R3" s="3">
        <v>3.4039999999999999</v>
      </c>
      <c r="S3" s="3">
        <v>3.3730000000000002</v>
      </c>
      <c r="T3" s="3">
        <v>3.343</v>
      </c>
      <c r="U3" s="3">
        <v>3.343</v>
      </c>
      <c r="V3" s="3">
        <v>3.343</v>
      </c>
      <c r="W3" s="3">
        <v>3.343</v>
      </c>
      <c r="X3" s="3">
        <v>3.343</v>
      </c>
      <c r="Y3" s="3">
        <v>3.343</v>
      </c>
      <c r="Z3" s="3">
        <v>3.343</v>
      </c>
      <c r="AA3" s="3" t="s">
        <v>7</v>
      </c>
      <c r="AB3" s="3">
        <v>3.327</v>
      </c>
      <c r="AC3" s="3">
        <v>3.327</v>
      </c>
      <c r="AD3" s="3">
        <v>3.327</v>
      </c>
      <c r="AE3" s="3">
        <v>3.327</v>
      </c>
      <c r="AF3" s="3">
        <v>3.327</v>
      </c>
      <c r="AG3" s="3">
        <v>3.3170000000000002</v>
      </c>
      <c r="AH3" s="3" t="s">
        <v>7</v>
      </c>
      <c r="AI3" s="3">
        <v>3.3170000000000002</v>
      </c>
      <c r="AJ3" s="3">
        <v>3.3159999999999998</v>
      </c>
      <c r="AK3" s="3">
        <v>3.3159999999999998</v>
      </c>
      <c r="AL3" s="3">
        <v>3.3159999999999998</v>
      </c>
      <c r="AM3" s="3">
        <v>3.3159999999999998</v>
      </c>
      <c r="AN3" s="3">
        <v>3.3159999999999998</v>
      </c>
      <c r="AO3" s="3" t="s">
        <v>7</v>
      </c>
      <c r="AP3" s="3">
        <v>3.3159999999999998</v>
      </c>
      <c r="AQ3" s="3">
        <v>3.2930000000000001</v>
      </c>
      <c r="AR3" s="3">
        <v>3.2930000000000001</v>
      </c>
      <c r="AS3" s="3">
        <v>3.262</v>
      </c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</row>
    <row r="4" spans="1:78" ht="14.4" x14ac:dyDescent="0.3">
      <c r="A4" s="3"/>
      <c r="B4" s="3" t="s">
        <v>5</v>
      </c>
      <c r="C4" s="3">
        <v>15.55</v>
      </c>
      <c r="D4" s="3">
        <v>155.54</v>
      </c>
      <c r="E4" s="3">
        <v>101.1</v>
      </c>
      <c r="F4" s="3">
        <v>505.51</v>
      </c>
      <c r="G4" s="3">
        <f>C4+D4+E4+F4</f>
        <v>777.7</v>
      </c>
      <c r="H4" s="3">
        <v>0.77769999999999995</v>
      </c>
      <c r="I4" s="3">
        <v>2.7219500000000001</v>
      </c>
      <c r="J4" s="3">
        <v>3.8885000000000001</v>
      </c>
      <c r="K4" s="3">
        <v>0</v>
      </c>
      <c r="L4" s="3">
        <v>1166.55</v>
      </c>
      <c r="M4" s="3">
        <v>272.2</v>
      </c>
      <c r="N4" s="3">
        <f t="shared" ref="N4:N18" si="2">L4+M4+G4+H4+I4++J4+K4</f>
        <v>2223.83815</v>
      </c>
      <c r="O4" s="3" t="s">
        <v>8</v>
      </c>
      <c r="P4" s="3">
        <v>5.7009999999999996</v>
      </c>
      <c r="Q4" s="3">
        <v>5.5590000000000002</v>
      </c>
      <c r="R4" s="3">
        <v>5.4729999999999999</v>
      </c>
      <c r="S4" s="3">
        <v>5.4390000000000001</v>
      </c>
      <c r="T4" s="3">
        <v>5.4059999999999997</v>
      </c>
      <c r="U4" s="3">
        <v>5.4059999999999997</v>
      </c>
      <c r="V4" s="3">
        <v>5.4059999999999997</v>
      </c>
      <c r="W4" s="3">
        <v>5.4050000000000002</v>
      </c>
      <c r="X4" s="3">
        <v>5.4050000000000002</v>
      </c>
      <c r="Y4" s="3">
        <v>5.4050000000000002</v>
      </c>
      <c r="Z4" s="3" t="s">
        <v>7</v>
      </c>
      <c r="AA4" s="3">
        <v>5.3860000000000001</v>
      </c>
      <c r="AB4" s="3">
        <v>5.3860000000000001</v>
      </c>
      <c r="AC4" s="3">
        <v>5.3860000000000001</v>
      </c>
      <c r="AD4" s="3">
        <v>5.3860000000000001</v>
      </c>
      <c r="AE4" s="3">
        <v>5.3860000000000001</v>
      </c>
      <c r="AF4" s="3">
        <v>5.3760000000000003</v>
      </c>
      <c r="AG4" s="3" t="s">
        <v>7</v>
      </c>
      <c r="AH4" s="3">
        <v>5.3760000000000003</v>
      </c>
      <c r="AI4" s="3">
        <v>5.3760000000000003</v>
      </c>
      <c r="AJ4" s="3">
        <v>5.3760000000000003</v>
      </c>
      <c r="AK4" s="3">
        <v>5.3760000000000003</v>
      </c>
      <c r="AL4" s="3">
        <v>5.3760000000000003</v>
      </c>
      <c r="AM4" s="3">
        <v>5.3760000000000003</v>
      </c>
      <c r="AN4" s="3" t="s">
        <v>7</v>
      </c>
      <c r="AO4" s="3">
        <v>5.3760000000000003</v>
      </c>
      <c r="AP4" s="3">
        <v>5.3529999999999998</v>
      </c>
      <c r="AQ4" s="3">
        <v>5.3529999999999998</v>
      </c>
      <c r="AR4" s="3">
        <v>5.3470000000000004</v>
      </c>
      <c r="AS4" s="3">
        <v>5.3470000000000004</v>
      </c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</row>
    <row r="5" spans="1:78" ht="14.4" x14ac:dyDescent="0.3">
      <c r="A5" s="3"/>
      <c r="B5" s="3" t="s">
        <v>5</v>
      </c>
      <c r="C5" s="3">
        <v>15.55</v>
      </c>
      <c r="D5" s="3">
        <v>155.54</v>
      </c>
      <c r="E5" s="3">
        <v>101.1</v>
      </c>
      <c r="F5" s="3">
        <v>505.51</v>
      </c>
      <c r="G5" s="3">
        <f t="shared" ref="G5:G18" si="3">C5+D5+E5+F5</f>
        <v>777.7</v>
      </c>
      <c r="H5" s="3">
        <v>0.77769999999999995</v>
      </c>
      <c r="I5" s="3">
        <v>2.7219500000000001</v>
      </c>
      <c r="J5" s="3">
        <v>3.8885000000000001</v>
      </c>
      <c r="K5" s="3">
        <v>0</v>
      </c>
      <c r="L5" s="3">
        <v>1166.55</v>
      </c>
      <c r="M5" s="3">
        <v>272.2</v>
      </c>
      <c r="N5" s="3">
        <f t="shared" si="2"/>
        <v>2223.83815</v>
      </c>
      <c r="O5" s="3" t="s">
        <v>8</v>
      </c>
      <c r="P5" s="3">
        <v>3.2850000000000001</v>
      </c>
      <c r="Q5" s="3">
        <v>3.0710000000000002</v>
      </c>
      <c r="R5" s="3">
        <v>2.948</v>
      </c>
      <c r="S5" s="3">
        <v>2.8969999999999998</v>
      </c>
      <c r="T5" s="3">
        <v>2.847</v>
      </c>
      <c r="U5" s="3">
        <v>2.847</v>
      </c>
      <c r="V5" s="3">
        <v>2.847</v>
      </c>
      <c r="W5" s="3">
        <v>2.847</v>
      </c>
      <c r="X5" s="3">
        <v>2.847</v>
      </c>
      <c r="Y5" s="3">
        <v>2.847</v>
      </c>
      <c r="Z5" s="3" t="s">
        <v>7</v>
      </c>
      <c r="AA5" s="3">
        <v>2.847</v>
      </c>
      <c r="AB5" s="3">
        <v>2.847</v>
      </c>
      <c r="AC5" s="3">
        <v>2.847</v>
      </c>
      <c r="AD5" s="3">
        <v>2.847</v>
      </c>
      <c r="AE5" s="3">
        <v>2.847</v>
      </c>
      <c r="AF5" s="3">
        <v>2.847</v>
      </c>
      <c r="AG5" s="3" t="s">
        <v>7</v>
      </c>
      <c r="AH5" s="3">
        <v>2.847</v>
      </c>
      <c r="AI5" s="3">
        <v>2.847</v>
      </c>
      <c r="AJ5" s="3">
        <v>2.847</v>
      </c>
      <c r="AK5" s="3">
        <v>2.847</v>
      </c>
      <c r="AL5" s="3">
        <v>2.847</v>
      </c>
      <c r="AM5" s="3">
        <v>2.847</v>
      </c>
      <c r="AN5" s="3" t="s">
        <v>7</v>
      </c>
      <c r="AO5" s="3">
        <v>2.847</v>
      </c>
      <c r="AP5" s="3">
        <v>2.831</v>
      </c>
      <c r="AQ5" s="3">
        <v>2.831</v>
      </c>
      <c r="AR5" s="3">
        <v>2.8250000000000002</v>
      </c>
      <c r="AS5" s="3">
        <v>2.8250000000000002</v>
      </c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</row>
    <row r="6" spans="1:78" ht="14.4" x14ac:dyDescent="0.3">
      <c r="B6" s="3" t="s">
        <v>5</v>
      </c>
      <c r="C6" s="3">
        <v>15.55</v>
      </c>
      <c r="D6" s="3">
        <v>155.54</v>
      </c>
      <c r="E6" s="3">
        <v>101.1</v>
      </c>
      <c r="F6" s="3">
        <v>505.51</v>
      </c>
      <c r="G6" s="3">
        <f t="shared" si="3"/>
        <v>777.7</v>
      </c>
      <c r="H6" s="3">
        <v>0.77769999999999995</v>
      </c>
      <c r="I6" s="3">
        <v>2.7219500000000001</v>
      </c>
      <c r="J6" s="3">
        <v>1.944</v>
      </c>
      <c r="K6" s="3">
        <v>0</v>
      </c>
      <c r="L6" s="3">
        <v>1166.55</v>
      </c>
      <c r="M6" s="3">
        <v>272.2</v>
      </c>
      <c r="N6" s="3">
        <f t="shared" si="2"/>
        <v>2221.89365</v>
      </c>
      <c r="O6" s="3" t="s">
        <v>6</v>
      </c>
      <c r="P6" s="3">
        <v>4.952</v>
      </c>
      <c r="Q6" s="3">
        <v>4.9130000000000003</v>
      </c>
      <c r="R6" s="3" t="s">
        <v>7</v>
      </c>
      <c r="S6" s="3">
        <v>4.8579999999999997</v>
      </c>
      <c r="T6" s="3">
        <v>4.8579999999999997</v>
      </c>
      <c r="U6" s="3">
        <v>4.8579999999999997</v>
      </c>
      <c r="V6" s="3">
        <v>4.8179999999999996</v>
      </c>
      <c r="W6" s="3">
        <v>4.7779999999999996</v>
      </c>
      <c r="X6" s="3">
        <v>4.7779999999999996</v>
      </c>
      <c r="Y6" s="3">
        <v>4.7779999999999996</v>
      </c>
      <c r="Z6" s="3">
        <v>4.7779999999999996</v>
      </c>
      <c r="AA6" s="3">
        <v>4.7779999999999996</v>
      </c>
      <c r="AB6" s="3">
        <v>4.7779999999999996</v>
      </c>
      <c r="AC6" s="3" t="s">
        <v>7</v>
      </c>
      <c r="AD6" s="3">
        <v>4.7779999999999996</v>
      </c>
      <c r="AE6" s="3">
        <v>4.7779999999999996</v>
      </c>
      <c r="AF6" s="3">
        <v>4.7779999999999996</v>
      </c>
      <c r="AG6" s="3">
        <v>4.7779999999999996</v>
      </c>
      <c r="AH6" s="3">
        <v>4.7779999999999996</v>
      </c>
      <c r="AI6" s="3">
        <v>4.7779999999999996</v>
      </c>
      <c r="AJ6" s="3" t="s">
        <v>7</v>
      </c>
      <c r="AK6" s="3">
        <v>4.7779999999999996</v>
      </c>
      <c r="AL6" s="3">
        <v>4.774</v>
      </c>
      <c r="AM6" s="3">
        <v>4.774</v>
      </c>
      <c r="AN6" s="3">
        <v>4.774</v>
      </c>
      <c r="AO6" s="3">
        <v>4.774</v>
      </c>
      <c r="AP6" s="3">
        <v>4.774</v>
      </c>
      <c r="AQ6" s="3" t="s">
        <v>7</v>
      </c>
      <c r="AR6" s="3">
        <v>4.774</v>
      </c>
      <c r="AS6" s="3">
        <v>4.7610000000000001</v>
      </c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</row>
    <row r="7" spans="1:78" ht="14.4" x14ac:dyDescent="0.3">
      <c r="A7" s="3"/>
      <c r="B7" s="3" t="s">
        <v>5</v>
      </c>
      <c r="C7" s="3">
        <v>15.55</v>
      </c>
      <c r="D7" s="3">
        <v>155.54</v>
      </c>
      <c r="E7" s="3">
        <v>101.1</v>
      </c>
      <c r="F7" s="3">
        <v>505.51</v>
      </c>
      <c r="G7" s="3">
        <f t="shared" si="3"/>
        <v>777.7</v>
      </c>
      <c r="H7" s="3">
        <v>0.77769999999999995</v>
      </c>
      <c r="I7" s="3">
        <v>2.7219500000000001</v>
      </c>
      <c r="J7" s="3">
        <v>1.944</v>
      </c>
      <c r="K7" s="3">
        <v>0</v>
      </c>
      <c r="L7" s="3">
        <v>1166.55</v>
      </c>
      <c r="M7" s="3">
        <v>272.2</v>
      </c>
      <c r="N7" s="3">
        <f t="shared" si="2"/>
        <v>2221.89365</v>
      </c>
      <c r="O7" s="3" t="s">
        <v>6</v>
      </c>
      <c r="P7" s="3">
        <v>4.2130000000000001</v>
      </c>
      <c r="Q7" s="3">
        <v>4.1740000000000004</v>
      </c>
      <c r="R7" s="3" t="s">
        <v>7</v>
      </c>
      <c r="S7" s="3">
        <v>4.0979999999999999</v>
      </c>
      <c r="T7" s="3">
        <v>4.0979999999999999</v>
      </c>
      <c r="U7" s="3">
        <v>4.0979999999999999</v>
      </c>
      <c r="V7" s="3">
        <v>4.0720000000000001</v>
      </c>
      <c r="W7" s="3">
        <v>4.0460000000000003</v>
      </c>
      <c r="X7" s="3">
        <v>4.0460000000000003</v>
      </c>
      <c r="Y7" s="3">
        <v>4.0460000000000003</v>
      </c>
      <c r="Z7" s="3">
        <v>4.0449999999999999</v>
      </c>
      <c r="AA7" s="3">
        <v>4.0449999999999999</v>
      </c>
      <c r="AB7" s="3">
        <v>4.0449999999999999</v>
      </c>
      <c r="AC7" s="3" t="s">
        <v>7</v>
      </c>
      <c r="AD7" s="3">
        <v>4.0449999999999999</v>
      </c>
      <c r="AE7" s="3">
        <v>4.0449999999999999</v>
      </c>
      <c r="AF7" s="3">
        <v>4.0449999999999999</v>
      </c>
      <c r="AG7" s="3">
        <v>4.0449999999999999</v>
      </c>
      <c r="AH7" s="3">
        <v>4.0449999999999999</v>
      </c>
      <c r="AI7" s="3">
        <v>4.0410000000000004</v>
      </c>
      <c r="AJ7" s="3" t="s">
        <v>7</v>
      </c>
      <c r="AK7" s="3">
        <v>4.0410000000000004</v>
      </c>
      <c r="AL7" s="3">
        <v>4.0410000000000004</v>
      </c>
      <c r="AM7" s="3">
        <v>4.0410000000000004</v>
      </c>
      <c r="AN7" s="3">
        <v>4.0410000000000004</v>
      </c>
      <c r="AO7" s="3">
        <v>4.0410000000000004</v>
      </c>
      <c r="AP7" s="3">
        <v>4.0410000000000004</v>
      </c>
      <c r="AQ7" s="3" t="s">
        <v>7</v>
      </c>
      <c r="AR7" s="3">
        <v>4.0410000000000004</v>
      </c>
      <c r="AS7" s="3">
        <v>4.0179999999999998</v>
      </c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</row>
    <row r="8" spans="1:78" ht="14.4" x14ac:dyDescent="0.3">
      <c r="A8" s="3"/>
      <c r="B8" s="3" t="s">
        <v>5</v>
      </c>
      <c r="C8" s="3">
        <v>15.55</v>
      </c>
      <c r="D8" s="3">
        <v>155.54</v>
      </c>
      <c r="E8" s="3">
        <v>101.1</v>
      </c>
      <c r="F8" s="3">
        <v>505.51</v>
      </c>
      <c r="G8" s="3">
        <f t="shared" si="3"/>
        <v>777.7</v>
      </c>
      <c r="H8" s="3">
        <v>0.77769999999999995</v>
      </c>
      <c r="I8" s="3">
        <v>2.7219500000000001</v>
      </c>
      <c r="J8" s="3">
        <v>1.944</v>
      </c>
      <c r="K8" s="3">
        <v>0</v>
      </c>
      <c r="L8" s="3">
        <v>1166.55</v>
      </c>
      <c r="M8" s="3">
        <v>272.2</v>
      </c>
      <c r="N8" s="3">
        <f t="shared" si="2"/>
        <v>2221.89365</v>
      </c>
      <c r="O8" s="3" t="s">
        <v>8</v>
      </c>
      <c r="P8" s="3">
        <v>3.508</v>
      </c>
      <c r="Q8" s="3">
        <v>3.3340000000000001</v>
      </c>
      <c r="R8" s="3">
        <v>3.2879999999999998</v>
      </c>
      <c r="S8" s="3">
        <v>3.2429999999999999</v>
      </c>
      <c r="T8" s="3">
        <v>3.2429999999999999</v>
      </c>
      <c r="U8" s="3">
        <v>3.2429999999999999</v>
      </c>
      <c r="V8" s="3">
        <v>3.23</v>
      </c>
      <c r="W8" s="3">
        <v>3.2250000000000001</v>
      </c>
      <c r="X8" s="3">
        <v>3.2250000000000001</v>
      </c>
      <c r="Y8" s="3" t="s">
        <v>7</v>
      </c>
      <c r="Z8" s="3">
        <v>3.2149999999999999</v>
      </c>
      <c r="AA8" s="3">
        <v>3.2149999999999999</v>
      </c>
      <c r="AB8" s="3">
        <v>3.2149999999999999</v>
      </c>
      <c r="AC8" s="3">
        <v>3.2149999999999999</v>
      </c>
      <c r="AD8" s="3">
        <v>3.2120000000000002</v>
      </c>
      <c r="AE8" s="3">
        <v>3.2040000000000002</v>
      </c>
      <c r="AF8" s="3" t="s">
        <v>7</v>
      </c>
      <c r="AG8" s="3">
        <v>3.2040000000000002</v>
      </c>
      <c r="AH8" s="3">
        <v>3.2010000000000001</v>
      </c>
      <c r="AI8" s="3">
        <v>3.2010000000000001</v>
      </c>
      <c r="AJ8" s="3">
        <v>3.2010000000000001</v>
      </c>
      <c r="AK8" s="3">
        <v>3.2010000000000001</v>
      </c>
      <c r="AL8" s="3">
        <v>3.2010000000000001</v>
      </c>
      <c r="AM8" s="3" t="s">
        <v>7</v>
      </c>
      <c r="AN8" s="3">
        <v>3.2010000000000001</v>
      </c>
      <c r="AO8" s="3">
        <v>3.1749999999999998</v>
      </c>
      <c r="AP8" s="3">
        <v>3.1749999999999998</v>
      </c>
      <c r="AQ8" s="3">
        <v>3.1429999999999998</v>
      </c>
      <c r="AR8" s="3">
        <v>3.1429999999999998</v>
      </c>
      <c r="AS8" s="3">
        <v>3.1429999999999998</v>
      </c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</row>
    <row r="9" spans="1:78" ht="14.4" x14ac:dyDescent="0.3">
      <c r="A9" s="3"/>
      <c r="B9" s="3" t="s">
        <v>5</v>
      </c>
      <c r="C9" s="3">
        <v>15.55</v>
      </c>
      <c r="D9" s="3">
        <v>155.54</v>
      </c>
      <c r="E9" s="3">
        <v>101.1</v>
      </c>
      <c r="F9" s="3">
        <v>505.51</v>
      </c>
      <c r="G9" s="3">
        <f t="shared" si="3"/>
        <v>777.7</v>
      </c>
      <c r="H9" s="3">
        <v>0.77769999999999995</v>
      </c>
      <c r="I9" s="3">
        <v>2.7219500000000001</v>
      </c>
      <c r="J9" s="3">
        <v>1.944</v>
      </c>
      <c r="K9" s="3">
        <v>0</v>
      </c>
      <c r="L9" s="3">
        <v>1166.55</v>
      </c>
      <c r="M9" s="3">
        <v>272.2</v>
      </c>
      <c r="N9" s="3">
        <f t="shared" si="2"/>
        <v>2221.89365</v>
      </c>
      <c r="O9" s="3" t="s">
        <v>8</v>
      </c>
      <c r="P9" s="3">
        <v>4.8940000000000001</v>
      </c>
      <c r="Q9" s="3">
        <v>4.72</v>
      </c>
      <c r="R9" s="3">
        <v>4.6740000000000004</v>
      </c>
      <c r="S9" s="3">
        <v>4.6289999999999996</v>
      </c>
      <c r="T9" s="3">
        <v>4.6289999999999996</v>
      </c>
      <c r="U9" s="3">
        <v>4.6289999999999996</v>
      </c>
      <c r="V9" s="3">
        <v>4.625</v>
      </c>
      <c r="W9" s="3">
        <v>4.625</v>
      </c>
      <c r="X9" s="3">
        <v>4.625</v>
      </c>
      <c r="Y9" s="3" t="s">
        <v>7</v>
      </c>
      <c r="Z9" s="3">
        <v>4.625</v>
      </c>
      <c r="AA9" s="3">
        <v>4.625</v>
      </c>
      <c r="AB9" s="3">
        <v>4.625</v>
      </c>
      <c r="AC9" s="3">
        <v>4.625</v>
      </c>
      <c r="AD9" s="3">
        <v>4.6180000000000003</v>
      </c>
      <c r="AE9" s="3">
        <v>4.6029999999999998</v>
      </c>
      <c r="AF9" s="3" t="s">
        <v>7</v>
      </c>
      <c r="AG9" s="3">
        <v>4.6029999999999998</v>
      </c>
      <c r="AH9" s="3">
        <v>4.6029999999999998</v>
      </c>
      <c r="AI9" s="3">
        <v>4.6029999999999998</v>
      </c>
      <c r="AJ9" s="3">
        <v>4.6029999999999998</v>
      </c>
      <c r="AK9" s="3">
        <v>4.6029999999999998</v>
      </c>
      <c r="AL9" s="3">
        <v>4.6029999999999998</v>
      </c>
      <c r="AM9" s="3" t="s">
        <v>7</v>
      </c>
      <c r="AN9" s="3">
        <v>4.6029999999999998</v>
      </c>
      <c r="AO9" s="3">
        <v>4.57</v>
      </c>
      <c r="AP9" s="3">
        <v>4.57</v>
      </c>
      <c r="AQ9" s="3">
        <v>4.5670000000000002</v>
      </c>
      <c r="AR9" s="3">
        <v>4.5670000000000002</v>
      </c>
      <c r="AS9" s="3">
        <v>4.5670000000000002</v>
      </c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</row>
    <row r="10" spans="1:78" ht="14.4" x14ac:dyDescent="0.3">
      <c r="A10" s="3"/>
      <c r="B10" s="3" t="s">
        <v>5</v>
      </c>
      <c r="C10" s="3">
        <v>15.55</v>
      </c>
      <c r="D10" s="3">
        <v>155.54</v>
      </c>
      <c r="E10" s="3">
        <v>101.1</v>
      </c>
      <c r="F10" s="3">
        <v>505.51</v>
      </c>
      <c r="G10" s="3">
        <f t="shared" si="3"/>
        <v>777.7</v>
      </c>
      <c r="H10" s="3">
        <v>1.5553999999999999</v>
      </c>
      <c r="I10" s="3">
        <v>2.7219500000000001</v>
      </c>
      <c r="J10" s="3">
        <v>0</v>
      </c>
      <c r="K10" s="3">
        <v>3.8885000000000001</v>
      </c>
      <c r="L10" s="3">
        <v>1166.55</v>
      </c>
      <c r="M10" s="3">
        <v>272.2</v>
      </c>
      <c r="N10" s="3">
        <f t="shared" si="2"/>
        <v>2224.6158500000001</v>
      </c>
      <c r="O10" s="6" t="s">
        <v>8</v>
      </c>
      <c r="P10" s="3">
        <v>4.2690000000000001</v>
      </c>
      <c r="Q10" s="3">
        <v>4.0579999999999998</v>
      </c>
      <c r="R10" s="3">
        <v>4.0220000000000002</v>
      </c>
      <c r="S10" s="3">
        <v>3.9870000000000001</v>
      </c>
      <c r="T10" s="3">
        <v>3.9870000000000001</v>
      </c>
      <c r="U10" s="3">
        <v>3.9870000000000001</v>
      </c>
      <c r="V10" s="3">
        <v>3.9769999999999999</v>
      </c>
      <c r="W10" s="3">
        <v>3.9769999999999999</v>
      </c>
      <c r="X10" s="3">
        <v>3.9769999999999999</v>
      </c>
      <c r="Y10" s="3" t="s">
        <v>7</v>
      </c>
      <c r="Z10" s="3">
        <v>3.9769999999999999</v>
      </c>
      <c r="AA10" s="3">
        <v>3.9769999999999999</v>
      </c>
      <c r="AB10" s="3">
        <v>3.97</v>
      </c>
      <c r="AC10" s="3">
        <v>3.97</v>
      </c>
      <c r="AD10" s="3">
        <v>3.97</v>
      </c>
      <c r="AE10" s="3">
        <v>3.97</v>
      </c>
      <c r="AF10" s="3" t="s">
        <v>7</v>
      </c>
      <c r="AG10" s="3">
        <v>3.97</v>
      </c>
      <c r="AH10" s="3">
        <v>3.968</v>
      </c>
      <c r="AI10" s="3">
        <v>3.968</v>
      </c>
      <c r="AJ10" s="3">
        <v>3.968</v>
      </c>
      <c r="AK10" s="3">
        <v>3.968</v>
      </c>
      <c r="AL10" s="3">
        <v>3.968</v>
      </c>
      <c r="AM10" s="3" t="s">
        <v>7</v>
      </c>
      <c r="AN10" s="3">
        <v>3.968</v>
      </c>
      <c r="AO10" s="3">
        <v>3.9350000000000001</v>
      </c>
      <c r="AP10" s="3">
        <v>3.9260000000000002</v>
      </c>
      <c r="AQ10" s="3">
        <v>3.911</v>
      </c>
      <c r="AR10" s="3">
        <v>3.911</v>
      </c>
      <c r="AS10" s="3">
        <v>3.911</v>
      </c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</row>
    <row r="11" spans="1:78" ht="14.4" x14ac:dyDescent="0.3">
      <c r="A11" s="3"/>
      <c r="B11" s="3" t="s">
        <v>5</v>
      </c>
      <c r="C11" s="3">
        <v>15.55</v>
      </c>
      <c r="D11" s="3">
        <v>155.54</v>
      </c>
      <c r="E11" s="3">
        <v>101.1</v>
      </c>
      <c r="F11" s="3">
        <v>505.51</v>
      </c>
      <c r="G11" s="3">
        <f t="shared" si="3"/>
        <v>777.7</v>
      </c>
      <c r="H11" s="3">
        <v>1.5553999999999999</v>
      </c>
      <c r="I11" s="3">
        <v>2.7219500000000001</v>
      </c>
      <c r="J11" s="3">
        <v>0</v>
      </c>
      <c r="K11" s="3">
        <v>3.8885000000000001</v>
      </c>
      <c r="L11" s="3">
        <v>1166.55</v>
      </c>
      <c r="M11" s="3">
        <v>272.2</v>
      </c>
      <c r="N11" s="3">
        <f t="shared" si="2"/>
        <v>2224.6158500000001</v>
      </c>
      <c r="O11" s="6" t="s">
        <v>8</v>
      </c>
      <c r="P11" s="3">
        <v>3.6890000000000001</v>
      </c>
      <c r="Q11" s="3">
        <v>3.66</v>
      </c>
      <c r="R11" s="3">
        <v>3.589</v>
      </c>
      <c r="S11" s="3">
        <v>3.5190000000000001</v>
      </c>
      <c r="T11" s="3">
        <v>3.5190000000000001</v>
      </c>
      <c r="U11" s="3">
        <v>3.5190000000000001</v>
      </c>
      <c r="V11" s="3">
        <v>3.5190000000000001</v>
      </c>
      <c r="W11" s="3">
        <v>3.5190000000000001</v>
      </c>
      <c r="X11" s="3">
        <v>3.5190000000000001</v>
      </c>
      <c r="Y11" s="3" t="s">
        <v>7</v>
      </c>
      <c r="Z11" s="3">
        <v>3.5190000000000001</v>
      </c>
      <c r="AA11" s="3">
        <v>3.5190000000000001</v>
      </c>
      <c r="AB11" s="3">
        <v>3.5190000000000001</v>
      </c>
      <c r="AC11" s="3">
        <v>3.5190000000000001</v>
      </c>
      <c r="AD11" s="3">
        <v>3.5190000000000001</v>
      </c>
      <c r="AE11" s="3">
        <v>3.5190000000000001</v>
      </c>
      <c r="AF11" s="3" t="s">
        <v>7</v>
      </c>
      <c r="AG11" s="3">
        <v>3.5190000000000001</v>
      </c>
      <c r="AH11" s="3">
        <v>3.4729999999999999</v>
      </c>
      <c r="AI11" s="3">
        <v>3.4729999999999999</v>
      </c>
      <c r="AJ11" s="3">
        <v>3.4729999999999999</v>
      </c>
      <c r="AK11" s="3">
        <v>3.4729999999999999</v>
      </c>
      <c r="AL11" s="3">
        <v>3.4729999999999999</v>
      </c>
      <c r="AM11" s="3" t="s">
        <v>7</v>
      </c>
      <c r="AN11" s="3">
        <v>3.4620000000000002</v>
      </c>
      <c r="AO11" s="3">
        <v>3.444</v>
      </c>
      <c r="AP11" s="3">
        <v>3.4380000000000002</v>
      </c>
      <c r="AQ11" s="3">
        <v>3.4129999999999998</v>
      </c>
      <c r="AR11" s="3">
        <v>3.4129999999999998</v>
      </c>
      <c r="AS11" s="3">
        <v>3.4129999999999998</v>
      </c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</row>
    <row r="12" spans="1:78" ht="14.4" x14ac:dyDescent="0.3">
      <c r="A12" s="3"/>
      <c r="B12" s="3" t="s">
        <v>5</v>
      </c>
      <c r="C12" s="3">
        <v>15.55</v>
      </c>
      <c r="D12" s="3">
        <v>155.54</v>
      </c>
      <c r="E12" s="3">
        <v>101.1</v>
      </c>
      <c r="F12" s="3">
        <v>505.51</v>
      </c>
      <c r="G12" s="3">
        <f t="shared" si="3"/>
        <v>777.7</v>
      </c>
      <c r="H12" s="3">
        <v>1.5553999999999999</v>
      </c>
      <c r="I12" s="3">
        <v>2.7219500000000001</v>
      </c>
      <c r="J12" s="3">
        <v>0</v>
      </c>
      <c r="K12" s="3">
        <v>3.8885000000000001</v>
      </c>
      <c r="L12" s="3">
        <v>1166.55</v>
      </c>
      <c r="M12" s="3">
        <v>272.2</v>
      </c>
      <c r="N12" s="3">
        <f t="shared" si="2"/>
        <v>2224.6158500000001</v>
      </c>
      <c r="O12" s="6" t="s">
        <v>6</v>
      </c>
      <c r="P12" s="3">
        <v>4.7539999999999996</v>
      </c>
      <c r="Q12" s="3">
        <v>4.7279999999999998</v>
      </c>
      <c r="R12" s="3">
        <v>4.72</v>
      </c>
      <c r="S12" s="3">
        <v>4.7130000000000001</v>
      </c>
      <c r="T12" s="3" t="s">
        <v>7</v>
      </c>
      <c r="U12" s="3" t="s">
        <v>7</v>
      </c>
      <c r="V12" s="3" t="s">
        <v>7</v>
      </c>
      <c r="W12" s="3">
        <v>4.6230000000000002</v>
      </c>
      <c r="X12" s="3">
        <v>4.6150000000000002</v>
      </c>
      <c r="Y12" s="3">
        <v>4.6130000000000004</v>
      </c>
      <c r="Z12" s="3">
        <v>4.5999999999999996</v>
      </c>
      <c r="AA12" s="3" t="s">
        <v>7</v>
      </c>
      <c r="AB12" s="3">
        <v>4.5999999999999996</v>
      </c>
      <c r="AC12" s="3" t="s">
        <v>7</v>
      </c>
      <c r="AD12" s="3">
        <v>4.5999999999999996</v>
      </c>
      <c r="AE12" s="3">
        <v>4.5999999999999996</v>
      </c>
      <c r="AF12" s="3">
        <v>4.585</v>
      </c>
      <c r="AG12" s="3">
        <v>4.5659999999999998</v>
      </c>
      <c r="AH12" s="3" t="s">
        <v>7</v>
      </c>
      <c r="AI12" s="3">
        <v>4.5659999999999998</v>
      </c>
      <c r="AJ12" s="3">
        <v>4.5659999999999998</v>
      </c>
      <c r="AK12" s="3" t="s">
        <v>7</v>
      </c>
      <c r="AL12" s="3">
        <v>4.5659999999999998</v>
      </c>
      <c r="AM12" s="3" t="s">
        <v>7</v>
      </c>
      <c r="AN12" s="3">
        <v>4.5659999999999998</v>
      </c>
      <c r="AO12" s="3" t="s">
        <v>7</v>
      </c>
      <c r="AP12" s="3" t="s">
        <v>7</v>
      </c>
      <c r="AQ12" s="3">
        <v>4.5659999999999998</v>
      </c>
      <c r="AR12" s="3">
        <v>4.5659999999999998</v>
      </c>
      <c r="AS12" s="3" t="s">
        <v>7</v>
      </c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</row>
    <row r="13" spans="1:78" ht="14.4" x14ac:dyDescent="0.3">
      <c r="A13" s="3"/>
      <c r="B13" s="3" t="s">
        <v>5</v>
      </c>
      <c r="C13" s="3">
        <v>15.55</v>
      </c>
      <c r="D13" s="3">
        <v>155.54</v>
      </c>
      <c r="E13" s="3">
        <v>101.1</v>
      </c>
      <c r="F13" s="3">
        <v>505.51</v>
      </c>
      <c r="G13" s="3">
        <f t="shared" si="3"/>
        <v>777.7</v>
      </c>
      <c r="H13" s="3">
        <v>1.5553999999999999</v>
      </c>
      <c r="I13" s="3">
        <v>2.7219500000000001</v>
      </c>
      <c r="J13" s="3">
        <v>0</v>
      </c>
      <c r="K13" s="3">
        <v>3.8885000000000001</v>
      </c>
      <c r="L13" s="3">
        <v>1166.55</v>
      </c>
      <c r="M13" s="3">
        <v>272.2</v>
      </c>
      <c r="N13" s="3">
        <f t="shared" si="2"/>
        <v>2224.6158500000001</v>
      </c>
      <c r="O13" s="6" t="s">
        <v>6</v>
      </c>
      <c r="P13" s="3">
        <v>4.9740000000000002</v>
      </c>
      <c r="Q13" s="3">
        <v>4.9480000000000004</v>
      </c>
      <c r="R13" s="3">
        <v>4.9450000000000003</v>
      </c>
      <c r="S13" s="3">
        <v>4.931</v>
      </c>
      <c r="T13" s="3" t="s">
        <v>7</v>
      </c>
      <c r="U13" s="3" t="s">
        <v>7</v>
      </c>
      <c r="V13" s="3" t="s">
        <v>7</v>
      </c>
      <c r="W13" s="3">
        <v>4.859</v>
      </c>
      <c r="X13" s="3">
        <v>4.8529999999999998</v>
      </c>
      <c r="Y13" s="3">
        <v>4.8209999999999997</v>
      </c>
      <c r="Z13" s="3">
        <v>4.8209999999999997</v>
      </c>
      <c r="AA13" s="3" t="s">
        <v>7</v>
      </c>
      <c r="AB13" s="3">
        <v>4.8209999999999997</v>
      </c>
      <c r="AC13" s="3" t="s">
        <v>7</v>
      </c>
      <c r="AD13" s="3">
        <v>4.8209999999999997</v>
      </c>
      <c r="AE13" s="3">
        <v>4.8209999999999997</v>
      </c>
      <c r="AF13" s="3">
        <v>4.798</v>
      </c>
      <c r="AG13" s="3">
        <v>4.758</v>
      </c>
      <c r="AH13" s="3" t="s">
        <v>7</v>
      </c>
      <c r="AI13" s="3">
        <v>4.758</v>
      </c>
      <c r="AJ13" s="3">
        <v>4.758</v>
      </c>
      <c r="AK13" s="3" t="s">
        <v>7</v>
      </c>
      <c r="AL13" s="3">
        <v>4.758</v>
      </c>
      <c r="AM13" s="3" t="s">
        <v>7</v>
      </c>
      <c r="AN13" s="3">
        <v>4.758</v>
      </c>
      <c r="AO13" s="3" t="s">
        <v>7</v>
      </c>
      <c r="AP13" s="3" t="s">
        <v>7</v>
      </c>
      <c r="AQ13" s="3">
        <v>4.758</v>
      </c>
      <c r="AR13" s="3">
        <v>4.758</v>
      </c>
      <c r="AS13" s="3" t="s">
        <v>7</v>
      </c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</row>
    <row r="14" spans="1:78" ht="14.4" x14ac:dyDescent="0.3">
      <c r="A14" s="3"/>
      <c r="B14" s="3" t="s">
        <v>5</v>
      </c>
      <c r="C14" s="3">
        <v>15.55</v>
      </c>
      <c r="D14" s="3">
        <v>155.54</v>
      </c>
      <c r="E14" s="3">
        <v>101.1</v>
      </c>
      <c r="F14" s="3">
        <v>505.51</v>
      </c>
      <c r="G14" s="3">
        <f t="shared" si="3"/>
        <v>777.7</v>
      </c>
      <c r="H14" s="3">
        <v>1.5553999999999999</v>
      </c>
      <c r="I14" s="3">
        <v>2.7219500000000001</v>
      </c>
      <c r="J14" s="3">
        <v>0</v>
      </c>
      <c r="K14" s="3">
        <v>3.8885000000000001</v>
      </c>
      <c r="L14" s="3">
        <v>1166.55</v>
      </c>
      <c r="M14" s="3">
        <v>272.2</v>
      </c>
      <c r="N14" s="3">
        <f t="shared" si="2"/>
        <v>2224.6158500000001</v>
      </c>
      <c r="O14" s="6" t="s">
        <v>6</v>
      </c>
      <c r="P14" s="3">
        <v>5.069</v>
      </c>
      <c r="Q14" s="3">
        <v>5.0910000000000002</v>
      </c>
      <c r="R14" s="3">
        <v>5.0110000000000001</v>
      </c>
      <c r="S14" s="3">
        <v>5.0010000000000003</v>
      </c>
      <c r="T14" s="3" t="s">
        <v>7</v>
      </c>
      <c r="U14" s="3" t="s">
        <v>7</v>
      </c>
      <c r="V14" s="3" t="s">
        <v>7</v>
      </c>
      <c r="W14" s="3">
        <v>4.8819999999999997</v>
      </c>
      <c r="X14" s="3">
        <v>4.8819999999999997</v>
      </c>
      <c r="Y14" s="3">
        <v>4.8819999999999997</v>
      </c>
      <c r="Z14" s="3">
        <v>4.8819999999999997</v>
      </c>
      <c r="AA14" s="3" t="s">
        <v>7</v>
      </c>
      <c r="AB14" s="3">
        <v>4.8819999999999997</v>
      </c>
      <c r="AC14" s="3" t="s">
        <v>7</v>
      </c>
      <c r="AD14" s="3">
        <v>4.8819999999999997</v>
      </c>
      <c r="AE14" s="3">
        <v>4.8819999999999997</v>
      </c>
      <c r="AF14" s="3">
        <v>4.867</v>
      </c>
      <c r="AG14" s="3">
        <v>4.8369999999999997</v>
      </c>
      <c r="AH14" s="3" t="s">
        <v>7</v>
      </c>
      <c r="AI14" s="3">
        <v>4.8369999999999997</v>
      </c>
      <c r="AJ14" s="3">
        <v>4.8369999999999997</v>
      </c>
      <c r="AK14" s="3" t="s">
        <v>7</v>
      </c>
      <c r="AL14" s="3">
        <v>4.8369999999999997</v>
      </c>
      <c r="AM14" s="3" t="s">
        <v>7</v>
      </c>
      <c r="AN14" s="3">
        <v>4.8369999999999997</v>
      </c>
      <c r="AO14" s="3" t="s">
        <v>7</v>
      </c>
      <c r="AP14" s="3" t="s">
        <v>7</v>
      </c>
      <c r="AQ14" s="3">
        <v>4.8369999999999997</v>
      </c>
      <c r="AR14" s="3">
        <v>4.8369999999999997</v>
      </c>
      <c r="AS14" s="3" t="s">
        <v>7</v>
      </c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</row>
    <row r="15" spans="1:78" ht="14.4" x14ac:dyDescent="0.3">
      <c r="A15" s="3"/>
      <c r="B15" s="3" t="s">
        <v>5</v>
      </c>
      <c r="C15" s="3">
        <v>15.55</v>
      </c>
      <c r="D15" s="3">
        <v>155.54</v>
      </c>
      <c r="E15" s="3">
        <v>101.1</v>
      </c>
      <c r="F15" s="3">
        <v>505.51</v>
      </c>
      <c r="G15" s="3">
        <f t="shared" si="3"/>
        <v>777.7</v>
      </c>
      <c r="H15" s="3">
        <v>1.5553999999999999</v>
      </c>
      <c r="I15" s="3">
        <v>2.7219500000000001</v>
      </c>
      <c r="J15" s="3">
        <v>0</v>
      </c>
      <c r="K15" s="3">
        <v>1.944</v>
      </c>
      <c r="L15" s="3">
        <v>1166.55</v>
      </c>
      <c r="M15" s="3">
        <v>272.2</v>
      </c>
      <c r="N15" s="3">
        <f t="shared" si="2"/>
        <v>2222.6713500000001</v>
      </c>
      <c r="O15" s="6" t="s">
        <v>8</v>
      </c>
      <c r="P15" s="3">
        <v>5.202</v>
      </c>
      <c r="Q15" s="3">
        <v>5.03</v>
      </c>
      <c r="R15" s="3">
        <v>4.9969999999999999</v>
      </c>
      <c r="S15" s="3">
        <v>4.9640000000000004</v>
      </c>
      <c r="T15" s="3">
        <v>4.9539999999999997</v>
      </c>
      <c r="U15" s="3">
        <v>4.9539999999999997</v>
      </c>
      <c r="V15" s="3">
        <v>4.9509999999999996</v>
      </c>
      <c r="W15" s="3">
        <v>4.95</v>
      </c>
      <c r="X15" s="3">
        <v>4.95</v>
      </c>
      <c r="Y15" s="3" t="s">
        <v>7</v>
      </c>
      <c r="Z15" s="3">
        <v>4.95</v>
      </c>
      <c r="AA15" s="3">
        <v>4.95</v>
      </c>
      <c r="AB15" s="3">
        <v>4.95</v>
      </c>
      <c r="AC15" s="3">
        <v>4.95</v>
      </c>
      <c r="AD15" s="3">
        <v>4.9329999999999998</v>
      </c>
      <c r="AE15" s="3">
        <v>4.9329999999999998</v>
      </c>
      <c r="AF15" s="3" t="s">
        <v>7</v>
      </c>
      <c r="AG15" s="3">
        <v>4.9329999999999998</v>
      </c>
      <c r="AH15" s="3">
        <v>4.9240000000000004</v>
      </c>
      <c r="AI15" s="3">
        <v>4.9240000000000004</v>
      </c>
      <c r="AJ15" s="3">
        <v>4.9240000000000004</v>
      </c>
      <c r="AK15" s="3">
        <v>4.9240000000000004</v>
      </c>
      <c r="AL15" s="3">
        <v>4.9240000000000004</v>
      </c>
      <c r="AM15" s="3" t="s">
        <v>7</v>
      </c>
      <c r="AN15" s="3">
        <v>4.9240000000000004</v>
      </c>
      <c r="AO15" s="3">
        <v>4.8940000000000001</v>
      </c>
      <c r="AP15" s="3">
        <v>4.8940000000000001</v>
      </c>
      <c r="AQ15" s="3">
        <v>4.8529999999999998</v>
      </c>
      <c r="AR15" s="3">
        <v>4.8529999999999998</v>
      </c>
      <c r="AS15" s="3">
        <v>4.8529999999999998</v>
      </c>
      <c r="AT15" s="3"/>
      <c r="AU15" s="3"/>
      <c r="AV15" s="3"/>
      <c r="AW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</row>
    <row r="16" spans="1:78" ht="14.4" x14ac:dyDescent="0.3">
      <c r="A16" s="3"/>
      <c r="B16" s="3" t="s">
        <v>5</v>
      </c>
      <c r="C16" s="3">
        <v>15.55</v>
      </c>
      <c r="D16" s="3">
        <v>155.54</v>
      </c>
      <c r="E16" s="3">
        <v>101.1</v>
      </c>
      <c r="F16" s="3">
        <v>505.51</v>
      </c>
      <c r="G16" s="3">
        <f t="shared" si="3"/>
        <v>777.7</v>
      </c>
      <c r="H16" s="3">
        <v>1.5553999999999999</v>
      </c>
      <c r="I16" s="3">
        <v>2.7219500000000001</v>
      </c>
      <c r="J16" s="3">
        <v>0</v>
      </c>
      <c r="K16" s="3">
        <v>1.944</v>
      </c>
      <c r="L16" s="3">
        <v>1166.55</v>
      </c>
      <c r="M16" s="3">
        <v>272.2</v>
      </c>
      <c r="N16" s="3">
        <f t="shared" si="2"/>
        <v>2222.6713500000001</v>
      </c>
      <c r="O16" s="6" t="s">
        <v>8</v>
      </c>
      <c r="P16" s="3">
        <v>3.399</v>
      </c>
      <c r="Q16" s="3">
        <v>3.2669999999999999</v>
      </c>
      <c r="R16" s="3">
        <v>3.2290000000000001</v>
      </c>
      <c r="S16" s="3">
        <v>3.1909999999999998</v>
      </c>
      <c r="T16" s="3">
        <v>3.1909999999999998</v>
      </c>
      <c r="U16" s="3">
        <v>3.1909999999999998</v>
      </c>
      <c r="V16" s="3">
        <v>3.19</v>
      </c>
      <c r="W16" s="3">
        <v>3.19</v>
      </c>
      <c r="X16" s="3">
        <v>3.19</v>
      </c>
      <c r="Y16" s="3" t="s">
        <v>7</v>
      </c>
      <c r="Z16" s="3">
        <v>3.1829999999999998</v>
      </c>
      <c r="AA16" s="3">
        <v>3.1829999999999998</v>
      </c>
      <c r="AB16" s="3">
        <v>3.1829999999999998</v>
      </c>
      <c r="AC16" s="3">
        <v>3.1680000000000001</v>
      </c>
      <c r="AD16" s="3">
        <v>3.1680000000000001</v>
      </c>
      <c r="AE16" s="3">
        <v>3.1560000000000001</v>
      </c>
      <c r="AF16" s="3" t="s">
        <v>7</v>
      </c>
      <c r="AG16" s="3">
        <v>3.1560000000000001</v>
      </c>
      <c r="AH16" s="3">
        <v>3.1560000000000001</v>
      </c>
      <c r="AI16" s="3">
        <v>3.1560000000000001</v>
      </c>
      <c r="AJ16" s="3">
        <v>3.1560000000000001</v>
      </c>
      <c r="AK16" s="3">
        <v>3.1560000000000001</v>
      </c>
      <c r="AL16" s="3">
        <v>3.1560000000000001</v>
      </c>
      <c r="AM16" s="3" t="s">
        <v>7</v>
      </c>
      <c r="AN16" s="3">
        <v>3.1560000000000001</v>
      </c>
      <c r="AO16" s="3">
        <v>3.137</v>
      </c>
      <c r="AP16" s="3">
        <v>3.1339999999999999</v>
      </c>
      <c r="AQ16" s="3">
        <v>3.1120000000000001</v>
      </c>
      <c r="AR16" s="3">
        <v>3.1120000000000001</v>
      </c>
      <c r="AS16" s="3">
        <v>3.1120000000000001</v>
      </c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</row>
    <row r="17" spans="1:76" ht="14.4" x14ac:dyDescent="0.3">
      <c r="A17" s="3"/>
      <c r="B17" s="3" t="s">
        <v>5</v>
      </c>
      <c r="C17" s="3">
        <v>15.55</v>
      </c>
      <c r="D17" s="3">
        <v>155.54</v>
      </c>
      <c r="E17" s="3">
        <v>101.1</v>
      </c>
      <c r="F17" s="3">
        <v>505.51</v>
      </c>
      <c r="G17" s="3">
        <f t="shared" si="3"/>
        <v>777.7</v>
      </c>
      <c r="H17" s="3">
        <v>1.5553999999999999</v>
      </c>
      <c r="I17" s="3">
        <v>2.7219500000000001</v>
      </c>
      <c r="J17" s="3">
        <v>0</v>
      </c>
      <c r="K17" s="3">
        <v>1.944</v>
      </c>
      <c r="L17" s="3">
        <v>1166.55</v>
      </c>
      <c r="M17" s="3">
        <v>272.2</v>
      </c>
      <c r="N17" s="3">
        <f t="shared" si="2"/>
        <v>2222.6713500000001</v>
      </c>
      <c r="O17" s="6" t="s">
        <v>6</v>
      </c>
      <c r="P17" s="3">
        <v>6.0430000000000001</v>
      </c>
      <c r="Q17" s="3">
        <v>5.92</v>
      </c>
      <c r="R17" s="3">
        <v>5.88</v>
      </c>
      <c r="S17" s="3">
        <v>5.85</v>
      </c>
      <c r="T17" s="3">
        <v>5.85</v>
      </c>
      <c r="U17" s="3">
        <v>5.85</v>
      </c>
      <c r="V17" s="3">
        <v>5.8490000000000002</v>
      </c>
      <c r="W17" s="3">
        <v>5.8490000000000002</v>
      </c>
      <c r="X17" s="3">
        <v>5.8490000000000002</v>
      </c>
      <c r="Y17" s="3" t="s">
        <v>7</v>
      </c>
      <c r="Z17" s="3">
        <v>5.8289999999999997</v>
      </c>
      <c r="AA17" s="3">
        <v>5.8289999999999997</v>
      </c>
      <c r="AB17" s="3">
        <v>5.8289999999999997</v>
      </c>
      <c r="AC17" s="3">
        <v>5.8289999999999997</v>
      </c>
      <c r="AD17" s="3">
        <v>5.827</v>
      </c>
      <c r="AE17" s="3">
        <v>5.827</v>
      </c>
      <c r="AF17" s="3" t="s">
        <v>7</v>
      </c>
      <c r="AG17" s="3">
        <v>5.827</v>
      </c>
      <c r="AH17" s="3">
        <v>5.8109999999999999</v>
      </c>
      <c r="AI17" s="3">
        <v>5.8109999999999999</v>
      </c>
      <c r="AJ17" s="3">
        <v>5.8109999999999999</v>
      </c>
      <c r="AK17" s="3">
        <v>5.8109999999999999</v>
      </c>
      <c r="AL17" s="3">
        <v>5.8109999999999999</v>
      </c>
      <c r="AM17" s="3" t="s">
        <v>7</v>
      </c>
      <c r="AN17" s="3">
        <v>5.8109999999999999</v>
      </c>
      <c r="AO17" s="3">
        <v>5.8109999999999999</v>
      </c>
      <c r="AP17" s="3">
        <v>5.7809999999999997</v>
      </c>
      <c r="AQ17" s="3">
        <v>5.7779999999999996</v>
      </c>
      <c r="AR17" s="3">
        <v>5.7779999999999996</v>
      </c>
      <c r="AS17" s="3">
        <v>5.7779999999999996</v>
      </c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</row>
    <row r="18" spans="1:76" ht="14.4" x14ac:dyDescent="0.3">
      <c r="A18" s="3"/>
      <c r="B18" s="3" t="s">
        <v>5</v>
      </c>
      <c r="C18" s="3">
        <v>15.55</v>
      </c>
      <c r="D18" s="3">
        <v>155.54</v>
      </c>
      <c r="E18" s="3">
        <v>101.1</v>
      </c>
      <c r="F18" s="3">
        <v>505.51</v>
      </c>
      <c r="G18" s="3">
        <f t="shared" si="3"/>
        <v>777.7</v>
      </c>
      <c r="H18" s="3">
        <v>1.5553999999999999</v>
      </c>
      <c r="I18" s="3">
        <v>2.7219500000000001</v>
      </c>
      <c r="J18" s="3">
        <v>0</v>
      </c>
      <c r="K18" s="3">
        <v>1.944</v>
      </c>
      <c r="L18" s="3">
        <v>1166.55</v>
      </c>
      <c r="M18" s="3">
        <v>272.2</v>
      </c>
      <c r="N18" s="3">
        <f t="shared" si="2"/>
        <v>2222.6713500000001</v>
      </c>
      <c r="O18" s="6" t="s">
        <v>6</v>
      </c>
      <c r="P18" s="3">
        <v>4.3899999999999997</v>
      </c>
      <c r="Q18" s="3">
        <v>4.2670000000000003</v>
      </c>
      <c r="R18" s="3">
        <v>4.2480000000000002</v>
      </c>
      <c r="S18" s="3">
        <v>4.2290000000000001</v>
      </c>
      <c r="T18" s="3">
        <v>4.1840000000000002</v>
      </c>
      <c r="U18" s="3">
        <v>4.1840000000000002</v>
      </c>
      <c r="V18" s="3">
        <v>4.1660000000000004</v>
      </c>
      <c r="W18" s="3">
        <v>4.1660000000000004</v>
      </c>
      <c r="X18" s="3">
        <v>4.1660000000000004</v>
      </c>
      <c r="Y18" s="3" t="s">
        <v>7</v>
      </c>
      <c r="Z18" s="3">
        <v>4.1589999999999998</v>
      </c>
      <c r="AA18" s="3">
        <v>4.1589999999999998</v>
      </c>
      <c r="AB18" s="3">
        <v>4.1589999999999998</v>
      </c>
      <c r="AC18" s="3">
        <v>4.1529999999999996</v>
      </c>
      <c r="AD18" s="3">
        <v>4.1529999999999996</v>
      </c>
      <c r="AE18" s="3">
        <v>4.141</v>
      </c>
      <c r="AF18" s="3" t="s">
        <v>7</v>
      </c>
      <c r="AG18" s="3">
        <v>4.141</v>
      </c>
      <c r="AH18" s="3">
        <v>4.141</v>
      </c>
      <c r="AI18" s="3">
        <v>4.141</v>
      </c>
      <c r="AJ18" s="3">
        <v>4.141</v>
      </c>
      <c r="AK18" s="3">
        <v>4.141</v>
      </c>
      <c r="AL18" s="3">
        <v>4.141</v>
      </c>
      <c r="AM18" s="3" t="s">
        <v>7</v>
      </c>
      <c r="AN18" s="3">
        <v>4.141</v>
      </c>
      <c r="AO18" s="3">
        <v>4.109</v>
      </c>
      <c r="AP18" s="3">
        <v>4.109</v>
      </c>
      <c r="AQ18" s="3">
        <v>4.0999999999999996</v>
      </c>
      <c r="AR18" s="3">
        <v>4.0999999999999996</v>
      </c>
      <c r="AS18" s="3">
        <v>4.0999999999999996</v>
      </c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</row>
    <row r="19" spans="1:76" ht="14.4" x14ac:dyDescent="0.3">
      <c r="A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</row>
    <row r="20" spans="1:76" ht="14.4" x14ac:dyDescent="0.3">
      <c r="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</row>
    <row r="21" spans="1:76" ht="15.75" customHeight="1" x14ac:dyDescent="0.3">
      <c r="A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</row>
    <row r="22" spans="1:76" ht="15.75" customHeight="1" x14ac:dyDescent="0.3">
      <c r="A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</row>
    <row r="23" spans="1:76" ht="15.75" customHeight="1" x14ac:dyDescent="0.3">
      <c r="C23" s="3"/>
    </row>
    <row r="24" spans="1:76" ht="15.75" customHeight="1" x14ac:dyDescent="0.3">
      <c r="C24" s="3"/>
    </row>
    <row r="25" spans="1:76" ht="15.75" customHeight="1" x14ac:dyDescent="0.3">
      <c r="C25" s="3"/>
    </row>
    <row r="26" spans="1:76" ht="15.75" customHeight="1" x14ac:dyDescent="0.3">
      <c r="C26" s="3"/>
    </row>
    <row r="27" spans="1:76" ht="15.75" customHeight="1" x14ac:dyDescent="0.3"/>
    <row r="28" spans="1:76" ht="15.75" customHeight="1" x14ac:dyDescent="0.3"/>
    <row r="29" spans="1:76" ht="15.75" customHeight="1" x14ac:dyDescent="0.3"/>
    <row r="30" spans="1:76" ht="15.75" customHeight="1" x14ac:dyDescent="0.3"/>
    <row r="31" spans="1:76" ht="15.75" customHeight="1" x14ac:dyDescent="0.3"/>
    <row r="32" spans="1:76" ht="15.75" customHeight="1" x14ac:dyDescent="0.3"/>
    <row r="33" s="1" customFormat="1" ht="15.75" customHeight="1" x14ac:dyDescent="0.3"/>
    <row r="34" s="1" customFormat="1" ht="15.75" customHeight="1" x14ac:dyDescent="0.3"/>
    <row r="35" s="1" customFormat="1" ht="15.75" customHeight="1" x14ac:dyDescent="0.3"/>
    <row r="36" s="1" customFormat="1" ht="15.75" customHeight="1" x14ac:dyDescent="0.3"/>
    <row r="37" s="1" customFormat="1" ht="15.75" customHeight="1" x14ac:dyDescent="0.3"/>
    <row r="38" s="1" customFormat="1" ht="15.75" customHeight="1" x14ac:dyDescent="0.3"/>
    <row r="39" s="1" customFormat="1" ht="15.75" customHeight="1" x14ac:dyDescent="0.3"/>
    <row r="40" s="1" customFormat="1" ht="15.75" customHeight="1" x14ac:dyDescent="0.3"/>
    <row r="41" s="1" customFormat="1" ht="15.75" customHeight="1" x14ac:dyDescent="0.3"/>
    <row r="42" s="1" customFormat="1" ht="15.75" customHeight="1" x14ac:dyDescent="0.3"/>
    <row r="43" s="1" customFormat="1" ht="15.75" customHeight="1" x14ac:dyDescent="0.3"/>
    <row r="44" s="1" customFormat="1" ht="15.75" customHeight="1" x14ac:dyDescent="0.3"/>
    <row r="45" s="1" customFormat="1" ht="15.75" customHeight="1" x14ac:dyDescent="0.3"/>
    <row r="46" s="1" customFormat="1" ht="15.75" customHeight="1" x14ac:dyDescent="0.3"/>
    <row r="47" s="1" customFormat="1" ht="15.75" customHeight="1" x14ac:dyDescent="0.3"/>
    <row r="48" s="1" customFormat="1" ht="15.75" customHeight="1" x14ac:dyDescent="0.3"/>
    <row r="49" s="1" customFormat="1" ht="15.75" customHeight="1" x14ac:dyDescent="0.3"/>
    <row r="50" s="1" customFormat="1" ht="15.75" customHeight="1" x14ac:dyDescent="0.3"/>
    <row r="51" s="1" customFormat="1" ht="15.75" customHeight="1" x14ac:dyDescent="0.3"/>
    <row r="52" s="1" customFormat="1" ht="15.75" customHeight="1" x14ac:dyDescent="0.3"/>
    <row r="53" s="1" customFormat="1" ht="15.75" customHeight="1" x14ac:dyDescent="0.3"/>
    <row r="54" s="1" customFormat="1" ht="15.75" customHeight="1" x14ac:dyDescent="0.3"/>
    <row r="55" s="1" customFormat="1" ht="15.75" customHeight="1" x14ac:dyDescent="0.3"/>
    <row r="56" s="1" customFormat="1" ht="15.75" customHeight="1" x14ac:dyDescent="0.3"/>
    <row r="57" s="1" customFormat="1" ht="15.75" customHeight="1" x14ac:dyDescent="0.3"/>
    <row r="58" s="1" customFormat="1" ht="15.75" customHeight="1" x14ac:dyDescent="0.3"/>
    <row r="59" s="1" customFormat="1" ht="15.75" customHeight="1" x14ac:dyDescent="0.3"/>
    <row r="60" s="1" customFormat="1" ht="15.75" customHeight="1" x14ac:dyDescent="0.3"/>
    <row r="61" s="1" customFormat="1" ht="15.75" customHeight="1" x14ac:dyDescent="0.3"/>
    <row r="62" s="1" customFormat="1" ht="15.75" customHeight="1" x14ac:dyDescent="0.3"/>
    <row r="63" s="1" customFormat="1" ht="15.75" customHeight="1" x14ac:dyDescent="0.3"/>
    <row r="64" s="1" customFormat="1" ht="15.75" customHeight="1" x14ac:dyDescent="0.3"/>
    <row r="65" s="1" customFormat="1" ht="15.75" customHeight="1" x14ac:dyDescent="0.3"/>
    <row r="66" s="1" customFormat="1" ht="15.75" customHeight="1" x14ac:dyDescent="0.3"/>
    <row r="67" s="1" customFormat="1" ht="15.75" customHeight="1" x14ac:dyDescent="0.3"/>
    <row r="68" s="1" customFormat="1" ht="15.75" customHeight="1" x14ac:dyDescent="0.3"/>
    <row r="69" s="1" customFormat="1" ht="15.75" customHeight="1" x14ac:dyDescent="0.3"/>
    <row r="70" s="1" customFormat="1" ht="15.75" customHeight="1" x14ac:dyDescent="0.3"/>
    <row r="71" s="1" customFormat="1" ht="15.75" customHeight="1" x14ac:dyDescent="0.3"/>
    <row r="72" s="1" customFormat="1" ht="15.75" customHeight="1" x14ac:dyDescent="0.3"/>
    <row r="73" s="1" customFormat="1" ht="15.75" customHeight="1" x14ac:dyDescent="0.3"/>
    <row r="74" s="1" customFormat="1" ht="15.75" customHeight="1" x14ac:dyDescent="0.3"/>
    <row r="75" s="1" customFormat="1" ht="15.75" customHeight="1" x14ac:dyDescent="0.3"/>
    <row r="76" s="1" customFormat="1" ht="15.75" customHeight="1" x14ac:dyDescent="0.3"/>
    <row r="77" s="1" customFormat="1" ht="15.75" customHeight="1" x14ac:dyDescent="0.3"/>
    <row r="78" s="1" customFormat="1" ht="15.75" customHeight="1" x14ac:dyDescent="0.3"/>
    <row r="79" s="1" customFormat="1" ht="15.75" customHeight="1" x14ac:dyDescent="0.3"/>
    <row r="80" s="1" customFormat="1" ht="15.75" customHeight="1" x14ac:dyDescent="0.3"/>
    <row r="81" s="1" customFormat="1" ht="15.75" customHeight="1" x14ac:dyDescent="0.3"/>
    <row r="82" s="1" customFormat="1" ht="15.75" customHeight="1" x14ac:dyDescent="0.3"/>
    <row r="83" s="1" customFormat="1" ht="15.75" customHeight="1" x14ac:dyDescent="0.3"/>
    <row r="84" s="1" customFormat="1" ht="15.75" customHeight="1" x14ac:dyDescent="0.3"/>
    <row r="85" s="1" customFormat="1" ht="15.75" customHeight="1" x14ac:dyDescent="0.3"/>
    <row r="86" s="1" customFormat="1" ht="15.75" customHeight="1" x14ac:dyDescent="0.3"/>
    <row r="87" s="1" customFormat="1" ht="15.75" customHeight="1" x14ac:dyDescent="0.3"/>
    <row r="88" s="1" customFormat="1" ht="15.75" customHeight="1" x14ac:dyDescent="0.3"/>
    <row r="89" s="1" customFormat="1" ht="15.75" customHeight="1" x14ac:dyDescent="0.3"/>
    <row r="90" s="1" customFormat="1" ht="15.75" customHeight="1" x14ac:dyDescent="0.3"/>
    <row r="91" s="1" customFormat="1" ht="15.75" customHeight="1" x14ac:dyDescent="0.3"/>
    <row r="92" s="1" customFormat="1" ht="15.75" customHeight="1" x14ac:dyDescent="0.3"/>
    <row r="93" s="1" customFormat="1" ht="15.75" customHeight="1" x14ac:dyDescent="0.3"/>
    <row r="94" s="1" customFormat="1" ht="15.75" customHeight="1" x14ac:dyDescent="0.3"/>
    <row r="95" s="1" customFormat="1" ht="15.75" customHeight="1" x14ac:dyDescent="0.3"/>
    <row r="96" s="1" customFormat="1" ht="15.75" customHeight="1" x14ac:dyDescent="0.3"/>
    <row r="97" s="1" customFormat="1" ht="15.75" customHeight="1" x14ac:dyDescent="0.3"/>
    <row r="98" s="1" customFormat="1" ht="15.75" customHeight="1" x14ac:dyDescent="0.3"/>
    <row r="99" s="1" customFormat="1" ht="15.75" customHeight="1" x14ac:dyDescent="0.3"/>
    <row r="100" s="1" customFormat="1" ht="15.75" customHeight="1" x14ac:dyDescent="0.3"/>
    <row r="101" s="1" customFormat="1" ht="15.75" customHeight="1" x14ac:dyDescent="0.3"/>
    <row r="102" s="1" customFormat="1" ht="15.75" customHeight="1" x14ac:dyDescent="0.3"/>
    <row r="103" s="1" customFormat="1" ht="15.75" customHeight="1" x14ac:dyDescent="0.3"/>
    <row r="104" s="1" customFormat="1" ht="15.75" customHeight="1" x14ac:dyDescent="0.3"/>
    <row r="105" s="1" customFormat="1" ht="15.75" customHeight="1" x14ac:dyDescent="0.3"/>
    <row r="106" s="1" customFormat="1" ht="15.75" customHeight="1" x14ac:dyDescent="0.3"/>
    <row r="107" s="1" customFormat="1" ht="15.75" customHeight="1" x14ac:dyDescent="0.3"/>
    <row r="108" s="1" customFormat="1" ht="15.75" customHeight="1" x14ac:dyDescent="0.3"/>
    <row r="109" s="1" customFormat="1" ht="15.75" customHeight="1" x14ac:dyDescent="0.3"/>
    <row r="110" s="1" customFormat="1" ht="15.75" customHeight="1" x14ac:dyDescent="0.3"/>
    <row r="111" s="1" customFormat="1" ht="15.75" customHeight="1" x14ac:dyDescent="0.3"/>
    <row r="112" s="1" customFormat="1" ht="15.75" customHeight="1" x14ac:dyDescent="0.3"/>
    <row r="113" s="1" customFormat="1" ht="15.75" customHeight="1" x14ac:dyDescent="0.3"/>
    <row r="114" s="1" customFormat="1" ht="15.75" customHeight="1" x14ac:dyDescent="0.3"/>
    <row r="115" s="1" customFormat="1" ht="15.75" customHeight="1" x14ac:dyDescent="0.3"/>
    <row r="116" s="1" customFormat="1" ht="15.75" customHeight="1" x14ac:dyDescent="0.3"/>
    <row r="117" s="1" customFormat="1" ht="15.75" customHeight="1" x14ac:dyDescent="0.3"/>
    <row r="118" s="1" customFormat="1" ht="15.75" customHeight="1" x14ac:dyDescent="0.3"/>
    <row r="119" s="1" customFormat="1" ht="15.75" customHeight="1" x14ac:dyDescent="0.3"/>
    <row r="120" s="1" customFormat="1" ht="15.75" customHeight="1" x14ac:dyDescent="0.3"/>
    <row r="121" s="1" customFormat="1" ht="15.75" customHeight="1" x14ac:dyDescent="0.3"/>
    <row r="122" s="1" customFormat="1" ht="15.75" customHeight="1" x14ac:dyDescent="0.3"/>
    <row r="123" s="1" customFormat="1" ht="15.75" customHeight="1" x14ac:dyDescent="0.3"/>
    <row r="124" s="1" customFormat="1" ht="15.75" customHeight="1" x14ac:dyDescent="0.3"/>
    <row r="125" s="1" customFormat="1" ht="15.75" customHeight="1" x14ac:dyDescent="0.3"/>
    <row r="126" s="1" customFormat="1" ht="15.75" customHeight="1" x14ac:dyDescent="0.3"/>
    <row r="127" s="1" customFormat="1" ht="15.75" customHeight="1" x14ac:dyDescent="0.3"/>
    <row r="128" s="1" customFormat="1" ht="15.75" customHeight="1" x14ac:dyDescent="0.3"/>
    <row r="129" s="1" customFormat="1" ht="15.75" customHeight="1" x14ac:dyDescent="0.3"/>
    <row r="130" s="1" customFormat="1" ht="15.75" customHeight="1" x14ac:dyDescent="0.3"/>
    <row r="131" s="1" customFormat="1" ht="15.75" customHeight="1" x14ac:dyDescent="0.3"/>
    <row r="132" s="1" customFormat="1" ht="15.75" customHeight="1" x14ac:dyDescent="0.3"/>
    <row r="133" s="1" customFormat="1" ht="15.75" customHeight="1" x14ac:dyDescent="0.3"/>
    <row r="134" s="1" customFormat="1" ht="15.75" customHeight="1" x14ac:dyDescent="0.3"/>
    <row r="135" s="1" customFormat="1" ht="15.75" customHeight="1" x14ac:dyDescent="0.3"/>
    <row r="136" s="1" customFormat="1" ht="15.75" customHeight="1" x14ac:dyDescent="0.3"/>
    <row r="137" s="1" customFormat="1" ht="15.75" customHeight="1" x14ac:dyDescent="0.3"/>
    <row r="138" s="1" customFormat="1" ht="15.75" customHeight="1" x14ac:dyDescent="0.3"/>
    <row r="139" s="1" customFormat="1" ht="15.75" customHeight="1" x14ac:dyDescent="0.3"/>
    <row r="140" s="1" customFormat="1" ht="15.75" customHeight="1" x14ac:dyDescent="0.3"/>
    <row r="141" s="1" customFormat="1" ht="15.75" customHeight="1" x14ac:dyDescent="0.3"/>
    <row r="142" s="1" customFormat="1" ht="15.75" customHeight="1" x14ac:dyDescent="0.3"/>
    <row r="143" s="1" customFormat="1" ht="15.75" customHeight="1" x14ac:dyDescent="0.3"/>
    <row r="144" s="1" customFormat="1" ht="15.75" customHeight="1" x14ac:dyDescent="0.3"/>
    <row r="145" s="1" customFormat="1" ht="15.75" customHeight="1" x14ac:dyDescent="0.3"/>
    <row r="146" s="1" customFormat="1" ht="15.75" customHeight="1" x14ac:dyDescent="0.3"/>
    <row r="147" s="1" customFormat="1" ht="15.75" customHeight="1" x14ac:dyDescent="0.3"/>
    <row r="148" s="1" customFormat="1" ht="15.75" customHeight="1" x14ac:dyDescent="0.3"/>
    <row r="149" s="1" customFormat="1" ht="15.75" customHeight="1" x14ac:dyDescent="0.3"/>
    <row r="150" s="1" customFormat="1" ht="15.75" customHeight="1" x14ac:dyDescent="0.3"/>
    <row r="151" s="1" customFormat="1" ht="15.75" customHeight="1" x14ac:dyDescent="0.3"/>
    <row r="152" s="1" customFormat="1" ht="15.75" customHeight="1" x14ac:dyDescent="0.3"/>
    <row r="153" s="1" customFormat="1" ht="15.75" customHeight="1" x14ac:dyDescent="0.3"/>
    <row r="154" s="1" customFormat="1" ht="15.75" customHeight="1" x14ac:dyDescent="0.3"/>
    <row r="155" s="1" customFormat="1" ht="15.75" customHeight="1" x14ac:dyDescent="0.3"/>
    <row r="156" s="1" customFormat="1" ht="15.75" customHeight="1" x14ac:dyDescent="0.3"/>
    <row r="157" s="1" customFormat="1" ht="15.75" customHeight="1" x14ac:dyDescent="0.3"/>
    <row r="158" s="1" customFormat="1" ht="15.75" customHeight="1" x14ac:dyDescent="0.3"/>
    <row r="159" s="1" customFormat="1" ht="15.75" customHeight="1" x14ac:dyDescent="0.3"/>
    <row r="160" s="1" customFormat="1" ht="15.75" customHeight="1" x14ac:dyDescent="0.3"/>
    <row r="161" s="1" customFormat="1" ht="15.75" customHeight="1" x14ac:dyDescent="0.3"/>
    <row r="162" s="1" customFormat="1" ht="15.75" customHeight="1" x14ac:dyDescent="0.3"/>
    <row r="163" s="1" customFormat="1" ht="15.75" customHeight="1" x14ac:dyDescent="0.3"/>
    <row r="164" s="1" customFormat="1" ht="15.75" customHeight="1" x14ac:dyDescent="0.3"/>
    <row r="165" s="1" customFormat="1" ht="15.75" customHeight="1" x14ac:dyDescent="0.3"/>
    <row r="166" s="1" customFormat="1" ht="15.75" customHeight="1" x14ac:dyDescent="0.3"/>
    <row r="167" s="1" customFormat="1" ht="15.75" customHeight="1" x14ac:dyDescent="0.3"/>
    <row r="168" s="1" customFormat="1" ht="15.75" customHeight="1" x14ac:dyDescent="0.3"/>
    <row r="169" s="1" customFormat="1" ht="15.75" customHeight="1" x14ac:dyDescent="0.3"/>
    <row r="170" s="1" customFormat="1" ht="15.75" customHeight="1" x14ac:dyDescent="0.3"/>
    <row r="171" s="1" customFormat="1" ht="15.75" customHeight="1" x14ac:dyDescent="0.3"/>
    <row r="172" s="1" customFormat="1" ht="15.75" customHeight="1" x14ac:dyDescent="0.3"/>
    <row r="173" s="1" customFormat="1" ht="15.75" customHeight="1" x14ac:dyDescent="0.3"/>
    <row r="174" s="1" customFormat="1" ht="15.75" customHeight="1" x14ac:dyDescent="0.3"/>
    <row r="175" s="1" customFormat="1" ht="15.75" customHeight="1" x14ac:dyDescent="0.3"/>
    <row r="176" s="1" customFormat="1" ht="15.75" customHeight="1" x14ac:dyDescent="0.3"/>
    <row r="177" s="1" customFormat="1" ht="15.75" customHeight="1" x14ac:dyDescent="0.3"/>
    <row r="178" s="1" customFormat="1" ht="15.75" customHeight="1" x14ac:dyDescent="0.3"/>
    <row r="179" s="1" customFormat="1" ht="15.75" customHeight="1" x14ac:dyDescent="0.3"/>
    <row r="180" s="1" customFormat="1" ht="15.75" customHeight="1" x14ac:dyDescent="0.3"/>
    <row r="181" s="1" customFormat="1" ht="15.75" customHeight="1" x14ac:dyDescent="0.3"/>
    <row r="182" s="1" customFormat="1" ht="15.75" customHeight="1" x14ac:dyDescent="0.3"/>
    <row r="183" s="1" customFormat="1" ht="15.75" customHeight="1" x14ac:dyDescent="0.3"/>
    <row r="184" s="1" customFormat="1" ht="15.75" customHeight="1" x14ac:dyDescent="0.3"/>
    <row r="185" s="1" customFormat="1" ht="15.75" customHeight="1" x14ac:dyDescent="0.3"/>
    <row r="186" s="1" customFormat="1" ht="15.75" customHeight="1" x14ac:dyDescent="0.3"/>
    <row r="187" s="1" customFormat="1" ht="15.75" customHeight="1" x14ac:dyDescent="0.3"/>
    <row r="188" s="1" customFormat="1" ht="15.75" customHeight="1" x14ac:dyDescent="0.3"/>
    <row r="189" s="1" customFormat="1" ht="15.75" customHeight="1" x14ac:dyDescent="0.3"/>
    <row r="190" s="1" customFormat="1" ht="15.75" customHeight="1" x14ac:dyDescent="0.3"/>
    <row r="191" s="1" customFormat="1" ht="15.75" customHeight="1" x14ac:dyDescent="0.3"/>
    <row r="192" s="1" customFormat="1" ht="15.75" customHeight="1" x14ac:dyDescent="0.3"/>
    <row r="193" s="1" customFormat="1" ht="15.75" customHeight="1" x14ac:dyDescent="0.3"/>
    <row r="194" s="1" customFormat="1" ht="15.75" customHeight="1" x14ac:dyDescent="0.3"/>
    <row r="195" s="1" customFormat="1" ht="15.75" customHeight="1" x14ac:dyDescent="0.3"/>
    <row r="196" s="1" customFormat="1" ht="15.75" customHeight="1" x14ac:dyDescent="0.3"/>
    <row r="197" s="1" customFormat="1" ht="15.75" customHeight="1" x14ac:dyDescent="0.3"/>
    <row r="198" s="1" customFormat="1" ht="15.75" customHeight="1" x14ac:dyDescent="0.3"/>
    <row r="199" s="1" customFormat="1" ht="15.75" customHeight="1" x14ac:dyDescent="0.3"/>
    <row r="200" s="1" customFormat="1" ht="15.75" customHeight="1" x14ac:dyDescent="0.3"/>
    <row r="201" s="1" customFormat="1" ht="15.75" customHeight="1" x14ac:dyDescent="0.3"/>
    <row r="202" s="1" customFormat="1" ht="15.75" customHeight="1" x14ac:dyDescent="0.3"/>
    <row r="203" s="1" customFormat="1" ht="15.75" customHeight="1" x14ac:dyDescent="0.3"/>
    <row r="204" s="1" customFormat="1" ht="15.75" customHeight="1" x14ac:dyDescent="0.3"/>
    <row r="205" s="1" customFormat="1" ht="15.75" customHeight="1" x14ac:dyDescent="0.3"/>
    <row r="206" s="1" customFormat="1" ht="15.75" customHeight="1" x14ac:dyDescent="0.3"/>
    <row r="207" s="1" customFormat="1" ht="15.75" customHeight="1" x14ac:dyDescent="0.3"/>
    <row r="208" s="1" customFormat="1" ht="15.75" customHeight="1" x14ac:dyDescent="0.3"/>
    <row r="209" s="1" customFormat="1" ht="15.75" customHeight="1" x14ac:dyDescent="0.3"/>
    <row r="210" s="1" customFormat="1" ht="15.75" customHeight="1" x14ac:dyDescent="0.3"/>
    <row r="211" s="1" customFormat="1" ht="15.75" customHeight="1" x14ac:dyDescent="0.3"/>
    <row r="212" s="1" customFormat="1" ht="15.75" customHeight="1" x14ac:dyDescent="0.3"/>
    <row r="213" s="1" customFormat="1" ht="15.75" customHeight="1" x14ac:dyDescent="0.3"/>
    <row r="214" s="1" customFormat="1" ht="15.75" customHeight="1" x14ac:dyDescent="0.3"/>
    <row r="215" s="1" customFormat="1" ht="15.75" customHeight="1" x14ac:dyDescent="0.3"/>
    <row r="216" s="1" customFormat="1" ht="15.75" customHeight="1" x14ac:dyDescent="0.3"/>
    <row r="217" s="1" customFormat="1" ht="15.75" customHeight="1" x14ac:dyDescent="0.3"/>
    <row r="218" s="1" customFormat="1" ht="15.75" customHeight="1" x14ac:dyDescent="0.3"/>
    <row r="219" s="1" customFormat="1" ht="15.75" customHeight="1" x14ac:dyDescent="0.3"/>
    <row r="220" s="1" customFormat="1" ht="15.75" customHeight="1" x14ac:dyDescent="0.3"/>
    <row r="221" s="1" customFormat="1" ht="15.75" customHeight="1" x14ac:dyDescent="0.3"/>
    <row r="222" s="1" customFormat="1" ht="15.75" customHeight="1" x14ac:dyDescent="0.3"/>
    <row r="223" s="1" customFormat="1" ht="15.75" customHeight="1" x14ac:dyDescent="0.3"/>
    <row r="224" s="1" customFormat="1" ht="15.75" customHeight="1" x14ac:dyDescent="0.3"/>
    <row r="225" s="1" customFormat="1" ht="15.75" customHeight="1" x14ac:dyDescent="0.3"/>
    <row r="226" s="1" customFormat="1" ht="15.75" customHeight="1" x14ac:dyDescent="0.3"/>
    <row r="227" s="1" customFormat="1" ht="15.75" customHeight="1" x14ac:dyDescent="0.3"/>
    <row r="228" s="1" customFormat="1" ht="15.75" customHeight="1" x14ac:dyDescent="0.3"/>
    <row r="229" s="1" customFormat="1" ht="15.75" customHeight="1" x14ac:dyDescent="0.3"/>
    <row r="230" s="1" customFormat="1" ht="15.75" customHeight="1" x14ac:dyDescent="0.3"/>
    <row r="231" s="1" customFormat="1" ht="15.75" customHeight="1" x14ac:dyDescent="0.3"/>
    <row r="232" s="1" customFormat="1" ht="15.75" customHeight="1" x14ac:dyDescent="0.3"/>
    <row r="233" s="1" customFormat="1" ht="15.75" customHeight="1" x14ac:dyDescent="0.3"/>
    <row r="234" s="1" customFormat="1" ht="15.75" customHeight="1" x14ac:dyDescent="0.3"/>
    <row r="235" s="1" customFormat="1" ht="15.75" customHeight="1" x14ac:dyDescent="0.3"/>
    <row r="236" s="1" customFormat="1" ht="15.75" customHeight="1" x14ac:dyDescent="0.3"/>
    <row r="237" s="1" customFormat="1" ht="15.75" customHeight="1" x14ac:dyDescent="0.3"/>
    <row r="238" s="1" customFormat="1" ht="15.75" customHeight="1" x14ac:dyDescent="0.3"/>
    <row r="239" s="1" customFormat="1" ht="15.75" customHeight="1" x14ac:dyDescent="0.3"/>
    <row r="240" s="1" customFormat="1" ht="15.75" customHeight="1" x14ac:dyDescent="0.3"/>
    <row r="241" s="1" customFormat="1" ht="15.75" customHeight="1" x14ac:dyDescent="0.3"/>
    <row r="242" s="1" customFormat="1" ht="15.75" customHeight="1" x14ac:dyDescent="0.3"/>
    <row r="243" s="1" customFormat="1" ht="15.75" customHeight="1" x14ac:dyDescent="0.3"/>
    <row r="244" s="1" customFormat="1" ht="15.75" customHeight="1" x14ac:dyDescent="0.3"/>
    <row r="245" s="1" customFormat="1" ht="15.75" customHeight="1" x14ac:dyDescent="0.3"/>
    <row r="246" s="1" customFormat="1" ht="15.75" customHeight="1" x14ac:dyDescent="0.3"/>
    <row r="247" s="1" customFormat="1" ht="15.75" customHeight="1" x14ac:dyDescent="0.3"/>
    <row r="248" s="1" customFormat="1" ht="15.75" customHeight="1" x14ac:dyDescent="0.3"/>
    <row r="249" s="1" customFormat="1" ht="15.75" customHeight="1" x14ac:dyDescent="0.3"/>
    <row r="250" s="1" customFormat="1" ht="15.75" customHeight="1" x14ac:dyDescent="0.3"/>
    <row r="251" s="1" customFormat="1" ht="15.75" customHeight="1" x14ac:dyDescent="0.3"/>
    <row r="252" s="1" customFormat="1" ht="15.75" customHeight="1" x14ac:dyDescent="0.3"/>
    <row r="253" s="1" customFormat="1" ht="15.75" customHeight="1" x14ac:dyDescent="0.3"/>
    <row r="254" s="1" customFormat="1" ht="15.75" customHeight="1" x14ac:dyDescent="0.3"/>
    <row r="255" s="1" customFormat="1" ht="15.75" customHeight="1" x14ac:dyDescent="0.3"/>
    <row r="256" s="1" customFormat="1" ht="15.75" customHeight="1" x14ac:dyDescent="0.3"/>
    <row r="257" s="1" customFormat="1" ht="15.75" customHeight="1" x14ac:dyDescent="0.3"/>
    <row r="258" s="1" customFormat="1" ht="15.75" customHeight="1" x14ac:dyDescent="0.3"/>
    <row r="259" s="1" customFormat="1" ht="15.75" customHeight="1" x14ac:dyDescent="0.3"/>
    <row r="260" s="1" customFormat="1" ht="15.75" customHeight="1" x14ac:dyDescent="0.3"/>
    <row r="261" s="1" customFormat="1" ht="15.75" customHeight="1" x14ac:dyDescent="0.3"/>
    <row r="262" s="1" customFormat="1" ht="15.75" customHeight="1" x14ac:dyDescent="0.3"/>
    <row r="263" s="1" customFormat="1" ht="15.75" customHeight="1" x14ac:dyDescent="0.3"/>
    <row r="264" s="1" customFormat="1" ht="15.75" customHeight="1" x14ac:dyDescent="0.3"/>
    <row r="265" s="1" customFormat="1" ht="15.75" customHeight="1" x14ac:dyDescent="0.3"/>
    <row r="266" s="1" customFormat="1" ht="15.75" customHeight="1" x14ac:dyDescent="0.3"/>
    <row r="267" s="1" customFormat="1" ht="15.75" customHeight="1" x14ac:dyDescent="0.3"/>
    <row r="268" s="1" customFormat="1" ht="15.75" customHeight="1" x14ac:dyDescent="0.3"/>
    <row r="269" s="1" customFormat="1" ht="15.75" customHeight="1" x14ac:dyDescent="0.3"/>
    <row r="270" s="1" customFormat="1" ht="15.75" customHeight="1" x14ac:dyDescent="0.3"/>
    <row r="271" s="1" customFormat="1" ht="15.75" customHeight="1" x14ac:dyDescent="0.3"/>
    <row r="272" s="1" customFormat="1" ht="15.75" customHeight="1" x14ac:dyDescent="0.3"/>
    <row r="273" s="1" customFormat="1" ht="15.75" customHeight="1" x14ac:dyDescent="0.3"/>
    <row r="274" s="1" customFormat="1" ht="15.75" customHeight="1" x14ac:dyDescent="0.3"/>
    <row r="275" s="1" customFormat="1" ht="15.75" customHeight="1" x14ac:dyDescent="0.3"/>
    <row r="276" s="1" customFormat="1" ht="15.75" customHeight="1" x14ac:dyDescent="0.3"/>
    <row r="277" s="1" customFormat="1" ht="15.75" customHeight="1" x14ac:dyDescent="0.3"/>
    <row r="278" s="1" customFormat="1" ht="15.75" customHeight="1" x14ac:dyDescent="0.3"/>
    <row r="279" s="1" customFormat="1" ht="15.75" customHeight="1" x14ac:dyDescent="0.3"/>
    <row r="280" s="1" customFormat="1" ht="15.75" customHeight="1" x14ac:dyDescent="0.3"/>
    <row r="281" s="1" customFormat="1" ht="15.75" customHeight="1" x14ac:dyDescent="0.3"/>
    <row r="282" s="1" customFormat="1" ht="15.75" customHeight="1" x14ac:dyDescent="0.3"/>
    <row r="283" s="1" customFormat="1" ht="15.75" customHeight="1" x14ac:dyDescent="0.3"/>
    <row r="284" s="1" customFormat="1" ht="15.75" customHeight="1" x14ac:dyDescent="0.3"/>
    <row r="285" s="1" customFormat="1" ht="15.75" customHeight="1" x14ac:dyDescent="0.3"/>
    <row r="286" s="1" customFormat="1" ht="15.75" customHeight="1" x14ac:dyDescent="0.3"/>
    <row r="287" s="1" customFormat="1" ht="15.75" customHeight="1" x14ac:dyDescent="0.3"/>
    <row r="288" s="1" customFormat="1" ht="15.75" customHeight="1" x14ac:dyDescent="0.3"/>
    <row r="289" s="1" customFormat="1" ht="15.75" customHeight="1" x14ac:dyDescent="0.3"/>
    <row r="290" s="1" customFormat="1" ht="15.75" customHeight="1" x14ac:dyDescent="0.3"/>
    <row r="291" s="1" customFormat="1" ht="15.75" customHeight="1" x14ac:dyDescent="0.3"/>
    <row r="292" s="1" customFormat="1" ht="15.75" customHeight="1" x14ac:dyDescent="0.3"/>
    <row r="293" s="1" customFormat="1" ht="15.75" customHeight="1" x14ac:dyDescent="0.3"/>
    <row r="294" s="1" customFormat="1" ht="15.75" customHeight="1" x14ac:dyDescent="0.3"/>
    <row r="295" s="1" customFormat="1" ht="15.75" customHeight="1" x14ac:dyDescent="0.3"/>
    <row r="296" s="1" customFormat="1" ht="15.75" customHeight="1" x14ac:dyDescent="0.3"/>
    <row r="297" s="1" customFormat="1" ht="15.75" customHeight="1" x14ac:dyDescent="0.3"/>
    <row r="298" s="1" customFormat="1" ht="15.75" customHeight="1" x14ac:dyDescent="0.3"/>
    <row r="299" s="1" customFormat="1" ht="15.75" customHeight="1" x14ac:dyDescent="0.3"/>
    <row r="300" s="1" customFormat="1" ht="15.75" customHeight="1" x14ac:dyDescent="0.3"/>
    <row r="301" s="1" customFormat="1" ht="15.75" customHeight="1" x14ac:dyDescent="0.3"/>
    <row r="302" s="1" customFormat="1" ht="15.75" customHeight="1" x14ac:dyDescent="0.3"/>
    <row r="303" s="1" customFormat="1" ht="15.75" customHeight="1" x14ac:dyDescent="0.3"/>
    <row r="304" s="1" customFormat="1" ht="15.75" customHeight="1" x14ac:dyDescent="0.3"/>
    <row r="305" s="1" customFormat="1" ht="15.75" customHeight="1" x14ac:dyDescent="0.3"/>
    <row r="306" s="1" customFormat="1" ht="15.75" customHeight="1" x14ac:dyDescent="0.3"/>
    <row r="307" s="1" customFormat="1" ht="15.75" customHeight="1" x14ac:dyDescent="0.3"/>
    <row r="308" s="1" customFormat="1" ht="15.75" customHeight="1" x14ac:dyDescent="0.3"/>
    <row r="309" s="1" customFormat="1" ht="15.75" customHeight="1" x14ac:dyDescent="0.3"/>
    <row r="310" s="1" customFormat="1" ht="15.75" customHeight="1" x14ac:dyDescent="0.3"/>
    <row r="311" s="1" customFormat="1" ht="15.75" customHeight="1" x14ac:dyDescent="0.3"/>
    <row r="312" s="1" customFormat="1" ht="15.75" customHeight="1" x14ac:dyDescent="0.3"/>
    <row r="313" s="1" customFormat="1" ht="15.75" customHeight="1" x14ac:dyDescent="0.3"/>
    <row r="314" s="1" customFormat="1" ht="15.75" customHeight="1" x14ac:dyDescent="0.3"/>
    <row r="315" s="1" customFormat="1" ht="15.75" customHeight="1" x14ac:dyDescent="0.3"/>
    <row r="316" s="1" customFormat="1" ht="15.75" customHeight="1" x14ac:dyDescent="0.3"/>
    <row r="317" s="1" customFormat="1" ht="15.75" customHeight="1" x14ac:dyDescent="0.3"/>
    <row r="318" s="1" customFormat="1" ht="15.75" customHeight="1" x14ac:dyDescent="0.3"/>
    <row r="319" s="1" customFormat="1" ht="15.75" customHeight="1" x14ac:dyDescent="0.3"/>
    <row r="320" s="1" customFormat="1" ht="15.75" customHeight="1" x14ac:dyDescent="0.3"/>
    <row r="321" s="1" customFormat="1" ht="15.75" customHeight="1" x14ac:dyDescent="0.3"/>
    <row r="322" s="1" customFormat="1" ht="15.75" customHeight="1" x14ac:dyDescent="0.3"/>
    <row r="323" s="1" customFormat="1" ht="15.75" customHeight="1" x14ac:dyDescent="0.3"/>
    <row r="324" s="1" customFormat="1" ht="15.75" customHeight="1" x14ac:dyDescent="0.3"/>
    <row r="325" s="1" customFormat="1" ht="15.75" customHeight="1" x14ac:dyDescent="0.3"/>
    <row r="326" s="1" customFormat="1" ht="15.75" customHeight="1" x14ac:dyDescent="0.3"/>
    <row r="327" s="1" customFormat="1" ht="15.75" customHeight="1" x14ac:dyDescent="0.3"/>
    <row r="328" s="1" customFormat="1" ht="15.75" customHeight="1" x14ac:dyDescent="0.3"/>
    <row r="329" s="1" customFormat="1" ht="15.75" customHeight="1" x14ac:dyDescent="0.3"/>
    <row r="330" s="1" customFormat="1" ht="15.75" customHeight="1" x14ac:dyDescent="0.3"/>
    <row r="331" s="1" customFormat="1" ht="15.75" customHeight="1" x14ac:dyDescent="0.3"/>
    <row r="332" s="1" customFormat="1" ht="15.75" customHeight="1" x14ac:dyDescent="0.3"/>
    <row r="333" s="1" customFormat="1" ht="15.75" customHeight="1" x14ac:dyDescent="0.3"/>
    <row r="334" s="1" customFormat="1" ht="15.75" customHeight="1" x14ac:dyDescent="0.3"/>
    <row r="335" s="1" customFormat="1" ht="15.75" customHeight="1" x14ac:dyDescent="0.3"/>
    <row r="336" s="1" customFormat="1" ht="15.75" customHeight="1" x14ac:dyDescent="0.3"/>
    <row r="337" s="1" customFormat="1" ht="15.75" customHeight="1" x14ac:dyDescent="0.3"/>
    <row r="338" s="1" customFormat="1" ht="15.75" customHeight="1" x14ac:dyDescent="0.3"/>
    <row r="339" s="1" customFormat="1" ht="15.75" customHeight="1" x14ac:dyDescent="0.3"/>
    <row r="340" s="1" customFormat="1" ht="15.75" customHeight="1" x14ac:dyDescent="0.3"/>
    <row r="341" s="1" customFormat="1" ht="15.75" customHeight="1" x14ac:dyDescent="0.3"/>
    <row r="342" s="1" customFormat="1" ht="15.75" customHeight="1" x14ac:dyDescent="0.3"/>
    <row r="343" s="1" customFormat="1" ht="15.75" customHeight="1" x14ac:dyDescent="0.3"/>
    <row r="344" s="1" customFormat="1" ht="15.75" customHeight="1" x14ac:dyDescent="0.3"/>
    <row r="345" s="1" customFormat="1" ht="15.75" customHeight="1" x14ac:dyDescent="0.3"/>
    <row r="346" s="1" customFormat="1" ht="15.75" customHeight="1" x14ac:dyDescent="0.3"/>
    <row r="347" s="1" customFormat="1" ht="15.75" customHeight="1" x14ac:dyDescent="0.3"/>
    <row r="348" s="1" customFormat="1" ht="15.75" customHeight="1" x14ac:dyDescent="0.3"/>
    <row r="349" s="1" customFormat="1" ht="15.75" customHeight="1" x14ac:dyDescent="0.3"/>
    <row r="350" s="1" customFormat="1" ht="15.75" customHeight="1" x14ac:dyDescent="0.3"/>
    <row r="351" s="1" customFormat="1" ht="15.75" customHeight="1" x14ac:dyDescent="0.3"/>
    <row r="352" s="1" customFormat="1" ht="15.75" customHeight="1" x14ac:dyDescent="0.3"/>
    <row r="353" s="1" customFormat="1" ht="15.75" customHeight="1" x14ac:dyDescent="0.3"/>
    <row r="354" s="1" customFormat="1" ht="15.75" customHeight="1" x14ac:dyDescent="0.3"/>
    <row r="355" s="1" customFormat="1" ht="15.75" customHeight="1" x14ac:dyDescent="0.3"/>
    <row r="356" s="1" customFormat="1" ht="15.75" customHeight="1" x14ac:dyDescent="0.3"/>
    <row r="357" s="1" customFormat="1" ht="15.75" customHeight="1" x14ac:dyDescent="0.3"/>
    <row r="358" s="1" customFormat="1" ht="15.75" customHeight="1" x14ac:dyDescent="0.3"/>
    <row r="359" s="1" customFormat="1" ht="15.75" customHeight="1" x14ac:dyDescent="0.3"/>
    <row r="360" s="1" customFormat="1" ht="15.75" customHeight="1" x14ac:dyDescent="0.3"/>
    <row r="361" s="1" customFormat="1" ht="15.75" customHeight="1" x14ac:dyDescent="0.3"/>
    <row r="362" s="1" customFormat="1" ht="15.75" customHeight="1" x14ac:dyDescent="0.3"/>
    <row r="363" s="1" customFormat="1" ht="15.75" customHeight="1" x14ac:dyDescent="0.3"/>
    <row r="364" s="1" customFormat="1" ht="15.75" customHeight="1" x14ac:dyDescent="0.3"/>
    <row r="365" s="1" customFormat="1" ht="15.75" customHeight="1" x14ac:dyDescent="0.3"/>
    <row r="366" s="1" customFormat="1" ht="15.75" customHeight="1" x14ac:dyDescent="0.3"/>
    <row r="367" s="1" customFormat="1" ht="15.75" customHeight="1" x14ac:dyDescent="0.3"/>
    <row r="368" s="1" customFormat="1" ht="15.75" customHeight="1" x14ac:dyDescent="0.3"/>
    <row r="369" s="1" customFormat="1" ht="15.75" customHeight="1" x14ac:dyDescent="0.3"/>
    <row r="370" s="1" customFormat="1" ht="15.75" customHeight="1" x14ac:dyDescent="0.3"/>
    <row r="371" s="1" customFormat="1" ht="15.75" customHeight="1" x14ac:dyDescent="0.3"/>
    <row r="372" s="1" customFormat="1" ht="15.75" customHeight="1" x14ac:dyDescent="0.3"/>
    <row r="373" s="1" customFormat="1" ht="15.75" customHeight="1" x14ac:dyDescent="0.3"/>
    <row r="374" s="1" customFormat="1" ht="15.75" customHeight="1" x14ac:dyDescent="0.3"/>
    <row r="375" s="1" customFormat="1" ht="15.75" customHeight="1" x14ac:dyDescent="0.3"/>
    <row r="376" s="1" customFormat="1" ht="15.75" customHeight="1" x14ac:dyDescent="0.3"/>
    <row r="377" s="1" customFormat="1" ht="15.75" customHeight="1" x14ac:dyDescent="0.3"/>
    <row r="378" s="1" customFormat="1" ht="15.75" customHeight="1" x14ac:dyDescent="0.3"/>
    <row r="379" s="1" customFormat="1" ht="15.75" customHeight="1" x14ac:dyDescent="0.3"/>
    <row r="380" s="1" customFormat="1" ht="15.75" customHeight="1" x14ac:dyDescent="0.3"/>
    <row r="381" s="1" customFormat="1" ht="15.75" customHeight="1" x14ac:dyDescent="0.3"/>
    <row r="382" s="1" customFormat="1" ht="15.75" customHeight="1" x14ac:dyDescent="0.3"/>
    <row r="383" s="1" customFormat="1" ht="15.75" customHeight="1" x14ac:dyDescent="0.3"/>
    <row r="384" s="1" customFormat="1" ht="15.75" customHeight="1" x14ac:dyDescent="0.3"/>
    <row r="385" s="1" customFormat="1" ht="15.75" customHeight="1" x14ac:dyDescent="0.3"/>
    <row r="386" s="1" customFormat="1" ht="15.75" customHeight="1" x14ac:dyDescent="0.3"/>
    <row r="387" s="1" customFormat="1" ht="15.75" customHeight="1" x14ac:dyDescent="0.3"/>
    <row r="388" s="1" customFormat="1" ht="15.75" customHeight="1" x14ac:dyDescent="0.3"/>
    <row r="389" s="1" customFormat="1" ht="15.75" customHeight="1" x14ac:dyDescent="0.3"/>
    <row r="390" s="1" customFormat="1" ht="15.75" customHeight="1" x14ac:dyDescent="0.3"/>
    <row r="391" s="1" customFormat="1" ht="15.75" customHeight="1" x14ac:dyDescent="0.3"/>
    <row r="392" s="1" customFormat="1" ht="15.75" customHeight="1" x14ac:dyDescent="0.3"/>
    <row r="393" s="1" customFormat="1" ht="15.75" customHeight="1" x14ac:dyDescent="0.3"/>
    <row r="394" s="1" customFormat="1" ht="15.75" customHeight="1" x14ac:dyDescent="0.3"/>
    <row r="395" s="1" customFormat="1" ht="15.75" customHeight="1" x14ac:dyDescent="0.3"/>
    <row r="396" s="1" customFormat="1" ht="15.75" customHeight="1" x14ac:dyDescent="0.3"/>
    <row r="397" s="1" customFormat="1" ht="15.75" customHeight="1" x14ac:dyDescent="0.3"/>
    <row r="398" s="1" customFormat="1" ht="15.75" customHeight="1" x14ac:dyDescent="0.3"/>
    <row r="399" s="1" customFormat="1" ht="15.75" customHeight="1" x14ac:dyDescent="0.3"/>
    <row r="400" s="1" customFormat="1" ht="15.75" customHeight="1" x14ac:dyDescent="0.3"/>
    <row r="401" s="1" customFormat="1" ht="15.75" customHeight="1" x14ac:dyDescent="0.3"/>
    <row r="402" s="1" customFormat="1" ht="15.75" customHeight="1" x14ac:dyDescent="0.3"/>
    <row r="403" s="1" customFormat="1" ht="15.75" customHeight="1" x14ac:dyDescent="0.3"/>
    <row r="404" s="1" customFormat="1" ht="15.75" customHeight="1" x14ac:dyDescent="0.3"/>
    <row r="405" s="1" customFormat="1" ht="15.75" customHeight="1" x14ac:dyDescent="0.3"/>
    <row r="406" s="1" customFormat="1" ht="15.75" customHeight="1" x14ac:dyDescent="0.3"/>
    <row r="407" s="1" customFormat="1" ht="15.75" customHeight="1" x14ac:dyDescent="0.3"/>
    <row r="408" s="1" customFormat="1" ht="15.75" customHeight="1" x14ac:dyDescent="0.3"/>
    <row r="409" s="1" customFormat="1" ht="15.75" customHeight="1" x14ac:dyDescent="0.3"/>
    <row r="410" s="1" customFormat="1" ht="15.75" customHeight="1" x14ac:dyDescent="0.3"/>
    <row r="411" s="1" customFormat="1" ht="15.75" customHeight="1" x14ac:dyDescent="0.3"/>
    <row r="412" s="1" customFormat="1" ht="15.75" customHeight="1" x14ac:dyDescent="0.3"/>
    <row r="413" s="1" customFormat="1" ht="15.75" customHeight="1" x14ac:dyDescent="0.3"/>
    <row r="414" s="1" customFormat="1" ht="15.75" customHeight="1" x14ac:dyDescent="0.3"/>
    <row r="415" s="1" customFormat="1" ht="15.75" customHeight="1" x14ac:dyDescent="0.3"/>
    <row r="416" s="1" customFormat="1" ht="15.75" customHeight="1" x14ac:dyDescent="0.3"/>
    <row r="417" s="1" customFormat="1" ht="15.75" customHeight="1" x14ac:dyDescent="0.3"/>
    <row r="418" s="1" customFormat="1" ht="15.75" customHeight="1" x14ac:dyDescent="0.3"/>
    <row r="419" s="1" customFormat="1" ht="15.75" customHeight="1" x14ac:dyDescent="0.3"/>
    <row r="420" s="1" customFormat="1" ht="15.75" customHeight="1" x14ac:dyDescent="0.3"/>
    <row r="421" s="1" customFormat="1" ht="15.75" customHeight="1" x14ac:dyDescent="0.3"/>
    <row r="422" s="1" customFormat="1" ht="15.75" customHeight="1" x14ac:dyDescent="0.3"/>
    <row r="423" s="1" customFormat="1" ht="15.75" customHeight="1" x14ac:dyDescent="0.3"/>
    <row r="424" s="1" customFormat="1" ht="15.75" customHeight="1" x14ac:dyDescent="0.3"/>
    <row r="425" s="1" customFormat="1" ht="15.75" customHeight="1" x14ac:dyDescent="0.3"/>
    <row r="426" s="1" customFormat="1" ht="15.75" customHeight="1" x14ac:dyDescent="0.3"/>
    <row r="427" s="1" customFormat="1" ht="15.75" customHeight="1" x14ac:dyDescent="0.3"/>
    <row r="428" s="1" customFormat="1" ht="15.75" customHeight="1" x14ac:dyDescent="0.3"/>
    <row r="429" s="1" customFormat="1" ht="15.75" customHeight="1" x14ac:dyDescent="0.3"/>
    <row r="430" s="1" customFormat="1" ht="15.75" customHeight="1" x14ac:dyDescent="0.3"/>
    <row r="431" s="1" customFormat="1" ht="15.75" customHeight="1" x14ac:dyDescent="0.3"/>
    <row r="432" s="1" customFormat="1" ht="15.75" customHeight="1" x14ac:dyDescent="0.3"/>
    <row r="433" s="1" customFormat="1" ht="15.75" customHeight="1" x14ac:dyDescent="0.3"/>
    <row r="434" s="1" customFormat="1" ht="15.75" customHeight="1" x14ac:dyDescent="0.3"/>
    <row r="435" s="1" customFormat="1" ht="15.75" customHeight="1" x14ac:dyDescent="0.3"/>
    <row r="436" s="1" customFormat="1" ht="15.75" customHeight="1" x14ac:dyDescent="0.3"/>
    <row r="437" s="1" customFormat="1" ht="15.75" customHeight="1" x14ac:dyDescent="0.3"/>
    <row r="438" s="1" customFormat="1" ht="15.75" customHeight="1" x14ac:dyDescent="0.3"/>
    <row r="439" s="1" customFormat="1" ht="15.75" customHeight="1" x14ac:dyDescent="0.3"/>
    <row r="440" s="1" customFormat="1" ht="15.75" customHeight="1" x14ac:dyDescent="0.3"/>
    <row r="441" s="1" customFormat="1" ht="15.75" customHeight="1" x14ac:dyDescent="0.3"/>
    <row r="442" s="1" customFormat="1" ht="15.75" customHeight="1" x14ac:dyDescent="0.3"/>
    <row r="443" s="1" customFormat="1" ht="15.75" customHeight="1" x14ac:dyDescent="0.3"/>
    <row r="444" s="1" customFormat="1" ht="15.75" customHeight="1" x14ac:dyDescent="0.3"/>
    <row r="445" s="1" customFormat="1" ht="15.75" customHeight="1" x14ac:dyDescent="0.3"/>
    <row r="446" s="1" customFormat="1" ht="15.75" customHeight="1" x14ac:dyDescent="0.3"/>
    <row r="447" s="1" customFormat="1" ht="15.75" customHeight="1" x14ac:dyDescent="0.3"/>
    <row r="448" s="1" customFormat="1" ht="15.75" customHeight="1" x14ac:dyDescent="0.3"/>
    <row r="449" s="1" customFormat="1" ht="15.75" customHeight="1" x14ac:dyDescent="0.3"/>
    <row r="450" s="1" customFormat="1" ht="15.75" customHeight="1" x14ac:dyDescent="0.3"/>
    <row r="451" s="1" customFormat="1" ht="15.75" customHeight="1" x14ac:dyDescent="0.3"/>
    <row r="452" s="1" customFormat="1" ht="15.75" customHeight="1" x14ac:dyDescent="0.3"/>
    <row r="453" s="1" customFormat="1" ht="15.75" customHeight="1" x14ac:dyDescent="0.3"/>
    <row r="454" s="1" customFormat="1" ht="15.75" customHeight="1" x14ac:dyDescent="0.3"/>
    <row r="455" s="1" customFormat="1" ht="15.75" customHeight="1" x14ac:dyDescent="0.3"/>
    <row r="456" s="1" customFormat="1" ht="15.75" customHeight="1" x14ac:dyDescent="0.3"/>
    <row r="457" s="1" customFormat="1" ht="15.75" customHeight="1" x14ac:dyDescent="0.3"/>
    <row r="458" s="1" customFormat="1" ht="15.75" customHeight="1" x14ac:dyDescent="0.3"/>
    <row r="459" s="1" customFormat="1" ht="15.75" customHeight="1" x14ac:dyDescent="0.3"/>
    <row r="460" s="1" customFormat="1" ht="15.75" customHeight="1" x14ac:dyDescent="0.3"/>
    <row r="461" s="1" customFormat="1" ht="15.75" customHeight="1" x14ac:dyDescent="0.3"/>
    <row r="462" s="1" customFormat="1" ht="15.75" customHeight="1" x14ac:dyDescent="0.3"/>
    <row r="463" s="1" customFormat="1" ht="15.75" customHeight="1" x14ac:dyDescent="0.3"/>
    <row r="464" s="1" customFormat="1" ht="15.75" customHeight="1" x14ac:dyDescent="0.3"/>
    <row r="465" s="1" customFormat="1" ht="15.75" customHeight="1" x14ac:dyDescent="0.3"/>
    <row r="466" s="1" customFormat="1" ht="15.75" customHeight="1" x14ac:dyDescent="0.3"/>
    <row r="467" s="1" customFormat="1" ht="15.75" customHeight="1" x14ac:dyDescent="0.3"/>
    <row r="468" s="1" customFormat="1" ht="15.75" customHeight="1" x14ac:dyDescent="0.3"/>
    <row r="469" s="1" customFormat="1" ht="15.75" customHeight="1" x14ac:dyDescent="0.3"/>
    <row r="470" s="1" customFormat="1" ht="15.75" customHeight="1" x14ac:dyDescent="0.3"/>
    <row r="471" s="1" customFormat="1" ht="15.75" customHeight="1" x14ac:dyDescent="0.3"/>
    <row r="472" s="1" customFormat="1" ht="15.75" customHeight="1" x14ac:dyDescent="0.3"/>
    <row r="473" s="1" customFormat="1" ht="15.75" customHeight="1" x14ac:dyDescent="0.3"/>
    <row r="474" s="1" customFormat="1" ht="15.75" customHeight="1" x14ac:dyDescent="0.3"/>
    <row r="475" s="1" customFormat="1" ht="15.75" customHeight="1" x14ac:dyDescent="0.3"/>
    <row r="476" s="1" customFormat="1" ht="15.75" customHeight="1" x14ac:dyDescent="0.3"/>
    <row r="477" s="1" customFormat="1" ht="15.75" customHeight="1" x14ac:dyDescent="0.3"/>
    <row r="478" s="1" customFormat="1" ht="15.75" customHeight="1" x14ac:dyDescent="0.3"/>
    <row r="479" s="1" customFormat="1" ht="15.75" customHeight="1" x14ac:dyDescent="0.3"/>
    <row r="480" s="1" customFormat="1" ht="15.75" customHeight="1" x14ac:dyDescent="0.3"/>
    <row r="481" s="1" customFormat="1" ht="15.75" customHeight="1" x14ac:dyDescent="0.3"/>
    <row r="482" s="1" customFormat="1" ht="15.75" customHeight="1" x14ac:dyDescent="0.3"/>
    <row r="483" s="1" customFormat="1" ht="15.75" customHeight="1" x14ac:dyDescent="0.3"/>
    <row r="484" s="1" customFormat="1" ht="15.75" customHeight="1" x14ac:dyDescent="0.3"/>
    <row r="485" s="1" customFormat="1" ht="15.75" customHeight="1" x14ac:dyDescent="0.3"/>
    <row r="486" s="1" customFormat="1" ht="15.75" customHeight="1" x14ac:dyDescent="0.3"/>
    <row r="487" s="1" customFormat="1" ht="15.75" customHeight="1" x14ac:dyDescent="0.3"/>
    <row r="488" s="1" customFormat="1" ht="15.75" customHeight="1" x14ac:dyDescent="0.3"/>
    <row r="489" s="1" customFormat="1" ht="15.75" customHeight="1" x14ac:dyDescent="0.3"/>
    <row r="490" s="1" customFormat="1" ht="15.75" customHeight="1" x14ac:dyDescent="0.3"/>
    <row r="491" s="1" customFormat="1" ht="15.75" customHeight="1" x14ac:dyDescent="0.3"/>
    <row r="492" s="1" customFormat="1" ht="15.75" customHeight="1" x14ac:dyDescent="0.3"/>
    <row r="493" s="1" customFormat="1" ht="15.75" customHeight="1" x14ac:dyDescent="0.3"/>
    <row r="494" s="1" customFormat="1" ht="15.75" customHeight="1" x14ac:dyDescent="0.3"/>
    <row r="495" s="1" customFormat="1" ht="15.75" customHeight="1" x14ac:dyDescent="0.3"/>
    <row r="496" s="1" customFormat="1" ht="15.75" customHeight="1" x14ac:dyDescent="0.3"/>
    <row r="497" s="1" customFormat="1" ht="15.75" customHeight="1" x14ac:dyDescent="0.3"/>
    <row r="498" s="1" customFormat="1" ht="15.75" customHeight="1" x14ac:dyDescent="0.3"/>
    <row r="499" s="1" customFormat="1" ht="15.75" customHeight="1" x14ac:dyDescent="0.3"/>
    <row r="500" s="1" customFormat="1" ht="15.75" customHeight="1" x14ac:dyDescent="0.3"/>
    <row r="501" s="1" customFormat="1" ht="15.75" customHeight="1" x14ac:dyDescent="0.3"/>
    <row r="502" s="1" customFormat="1" ht="15.75" customHeight="1" x14ac:dyDescent="0.3"/>
    <row r="503" s="1" customFormat="1" ht="15.75" customHeight="1" x14ac:dyDescent="0.3"/>
    <row r="504" s="1" customFormat="1" ht="15.75" customHeight="1" x14ac:dyDescent="0.3"/>
    <row r="505" s="1" customFormat="1" ht="15.75" customHeight="1" x14ac:dyDescent="0.3"/>
    <row r="506" s="1" customFormat="1" ht="15.75" customHeight="1" x14ac:dyDescent="0.3"/>
    <row r="507" s="1" customFormat="1" ht="15.75" customHeight="1" x14ac:dyDescent="0.3"/>
    <row r="508" s="1" customFormat="1" ht="15.75" customHeight="1" x14ac:dyDescent="0.3"/>
    <row r="509" s="1" customFormat="1" ht="15.75" customHeight="1" x14ac:dyDescent="0.3"/>
    <row r="510" s="1" customFormat="1" ht="15.75" customHeight="1" x14ac:dyDescent="0.3"/>
    <row r="511" s="1" customFormat="1" ht="15.75" customHeight="1" x14ac:dyDescent="0.3"/>
    <row r="512" s="1" customFormat="1" ht="15.75" customHeight="1" x14ac:dyDescent="0.3"/>
    <row r="513" s="1" customFormat="1" ht="15.75" customHeight="1" x14ac:dyDescent="0.3"/>
    <row r="514" s="1" customFormat="1" ht="15.75" customHeight="1" x14ac:dyDescent="0.3"/>
    <row r="515" s="1" customFormat="1" ht="15.75" customHeight="1" x14ac:dyDescent="0.3"/>
    <row r="516" s="1" customFormat="1" ht="15.75" customHeight="1" x14ac:dyDescent="0.3"/>
    <row r="517" s="1" customFormat="1" ht="15.75" customHeight="1" x14ac:dyDescent="0.3"/>
    <row r="518" s="1" customFormat="1" ht="15.75" customHeight="1" x14ac:dyDescent="0.3"/>
    <row r="519" s="1" customFormat="1" ht="15.75" customHeight="1" x14ac:dyDescent="0.3"/>
    <row r="520" s="1" customFormat="1" ht="15.75" customHeight="1" x14ac:dyDescent="0.3"/>
    <row r="521" s="1" customFormat="1" ht="15.75" customHeight="1" x14ac:dyDescent="0.3"/>
    <row r="522" s="1" customFormat="1" ht="15.75" customHeight="1" x14ac:dyDescent="0.3"/>
    <row r="523" s="1" customFormat="1" ht="15.75" customHeight="1" x14ac:dyDescent="0.3"/>
    <row r="524" s="1" customFormat="1" ht="15.75" customHeight="1" x14ac:dyDescent="0.3"/>
    <row r="525" s="1" customFormat="1" ht="15.75" customHeight="1" x14ac:dyDescent="0.3"/>
    <row r="526" s="1" customFormat="1" ht="15.75" customHeight="1" x14ac:dyDescent="0.3"/>
    <row r="527" s="1" customFormat="1" ht="15.75" customHeight="1" x14ac:dyDescent="0.3"/>
    <row r="528" s="1" customFormat="1" ht="15.75" customHeight="1" x14ac:dyDescent="0.3"/>
    <row r="529" s="1" customFormat="1" ht="15.75" customHeight="1" x14ac:dyDescent="0.3"/>
    <row r="530" s="1" customFormat="1" ht="15.75" customHeight="1" x14ac:dyDescent="0.3"/>
    <row r="531" s="1" customFormat="1" ht="15.75" customHeight="1" x14ac:dyDescent="0.3"/>
    <row r="532" s="1" customFormat="1" ht="15.75" customHeight="1" x14ac:dyDescent="0.3"/>
    <row r="533" s="1" customFormat="1" ht="15.75" customHeight="1" x14ac:dyDescent="0.3"/>
    <row r="534" s="1" customFormat="1" ht="15.75" customHeight="1" x14ac:dyDescent="0.3"/>
    <row r="535" s="1" customFormat="1" ht="15.75" customHeight="1" x14ac:dyDescent="0.3"/>
    <row r="536" s="1" customFormat="1" ht="15.75" customHeight="1" x14ac:dyDescent="0.3"/>
    <row r="537" s="1" customFormat="1" ht="15.75" customHeight="1" x14ac:dyDescent="0.3"/>
    <row r="538" s="1" customFormat="1" ht="15.75" customHeight="1" x14ac:dyDescent="0.3"/>
    <row r="539" s="1" customFormat="1" ht="15.75" customHeight="1" x14ac:dyDescent="0.3"/>
    <row r="540" s="1" customFormat="1" ht="15.75" customHeight="1" x14ac:dyDescent="0.3"/>
    <row r="541" s="1" customFormat="1" ht="15.75" customHeight="1" x14ac:dyDescent="0.3"/>
    <row r="542" s="1" customFormat="1" ht="15.75" customHeight="1" x14ac:dyDescent="0.3"/>
    <row r="543" s="1" customFormat="1" ht="15.75" customHeight="1" x14ac:dyDescent="0.3"/>
    <row r="544" s="1" customFormat="1" ht="15.75" customHeight="1" x14ac:dyDescent="0.3"/>
    <row r="545" s="1" customFormat="1" ht="15.75" customHeight="1" x14ac:dyDescent="0.3"/>
    <row r="546" s="1" customFormat="1" ht="15.75" customHeight="1" x14ac:dyDescent="0.3"/>
    <row r="547" s="1" customFormat="1" ht="15.75" customHeight="1" x14ac:dyDescent="0.3"/>
    <row r="548" s="1" customFormat="1" ht="15.75" customHeight="1" x14ac:dyDescent="0.3"/>
    <row r="549" s="1" customFormat="1" ht="15.75" customHeight="1" x14ac:dyDescent="0.3"/>
    <row r="550" s="1" customFormat="1" ht="15.75" customHeight="1" x14ac:dyDescent="0.3"/>
    <row r="551" s="1" customFormat="1" ht="15.75" customHeight="1" x14ac:dyDescent="0.3"/>
    <row r="552" s="1" customFormat="1" ht="15.75" customHeight="1" x14ac:dyDescent="0.3"/>
    <row r="553" s="1" customFormat="1" ht="15.75" customHeight="1" x14ac:dyDescent="0.3"/>
    <row r="554" s="1" customFormat="1" ht="15.75" customHeight="1" x14ac:dyDescent="0.3"/>
    <row r="555" s="1" customFormat="1" ht="15.75" customHeight="1" x14ac:dyDescent="0.3"/>
    <row r="556" s="1" customFormat="1" ht="15.75" customHeight="1" x14ac:dyDescent="0.3"/>
    <row r="557" s="1" customFormat="1" ht="15.75" customHeight="1" x14ac:dyDescent="0.3"/>
    <row r="558" s="1" customFormat="1" ht="15.75" customHeight="1" x14ac:dyDescent="0.3"/>
    <row r="559" s="1" customFormat="1" ht="15.75" customHeight="1" x14ac:dyDescent="0.3"/>
    <row r="560" s="1" customFormat="1" ht="15.75" customHeight="1" x14ac:dyDescent="0.3"/>
    <row r="561" s="1" customFormat="1" ht="15.75" customHeight="1" x14ac:dyDescent="0.3"/>
    <row r="562" s="1" customFormat="1" ht="15.75" customHeight="1" x14ac:dyDescent="0.3"/>
    <row r="563" s="1" customFormat="1" ht="15.75" customHeight="1" x14ac:dyDescent="0.3"/>
    <row r="564" s="1" customFormat="1" ht="15.75" customHeight="1" x14ac:dyDescent="0.3"/>
    <row r="565" s="1" customFormat="1" ht="15.75" customHeight="1" x14ac:dyDescent="0.3"/>
    <row r="566" s="1" customFormat="1" ht="15.75" customHeight="1" x14ac:dyDescent="0.3"/>
    <row r="567" s="1" customFormat="1" ht="15.75" customHeight="1" x14ac:dyDescent="0.3"/>
    <row r="568" s="1" customFormat="1" ht="15.75" customHeight="1" x14ac:dyDescent="0.3"/>
    <row r="569" s="1" customFormat="1" ht="15.75" customHeight="1" x14ac:dyDescent="0.3"/>
    <row r="570" s="1" customFormat="1" ht="15.75" customHeight="1" x14ac:dyDescent="0.3"/>
    <row r="571" s="1" customFormat="1" ht="15.75" customHeight="1" x14ac:dyDescent="0.3"/>
    <row r="572" s="1" customFormat="1" ht="15.75" customHeight="1" x14ac:dyDescent="0.3"/>
    <row r="573" s="1" customFormat="1" ht="15.75" customHeight="1" x14ac:dyDescent="0.3"/>
    <row r="574" s="1" customFormat="1" ht="15.75" customHeight="1" x14ac:dyDescent="0.3"/>
    <row r="575" s="1" customFormat="1" ht="15.75" customHeight="1" x14ac:dyDescent="0.3"/>
    <row r="576" s="1" customFormat="1" ht="15.75" customHeight="1" x14ac:dyDescent="0.3"/>
    <row r="577" s="1" customFormat="1" ht="15.75" customHeight="1" x14ac:dyDescent="0.3"/>
    <row r="578" s="1" customFormat="1" ht="15.75" customHeight="1" x14ac:dyDescent="0.3"/>
    <row r="579" s="1" customFormat="1" ht="15.75" customHeight="1" x14ac:dyDescent="0.3"/>
    <row r="580" s="1" customFormat="1" ht="15.75" customHeight="1" x14ac:dyDescent="0.3"/>
    <row r="581" s="1" customFormat="1" ht="15.75" customHeight="1" x14ac:dyDescent="0.3"/>
    <row r="582" s="1" customFormat="1" ht="15.75" customHeight="1" x14ac:dyDescent="0.3"/>
    <row r="583" s="1" customFormat="1" ht="15.75" customHeight="1" x14ac:dyDescent="0.3"/>
    <row r="584" s="1" customFormat="1" ht="15.75" customHeight="1" x14ac:dyDescent="0.3"/>
    <row r="585" s="1" customFormat="1" ht="15.75" customHeight="1" x14ac:dyDescent="0.3"/>
    <row r="586" s="1" customFormat="1" ht="15.75" customHeight="1" x14ac:dyDescent="0.3"/>
    <row r="587" s="1" customFormat="1" ht="15.75" customHeight="1" x14ac:dyDescent="0.3"/>
    <row r="588" s="1" customFormat="1" ht="15.75" customHeight="1" x14ac:dyDescent="0.3"/>
    <row r="589" s="1" customFormat="1" ht="15.75" customHeight="1" x14ac:dyDescent="0.3"/>
    <row r="590" s="1" customFormat="1" ht="15.75" customHeight="1" x14ac:dyDescent="0.3"/>
    <row r="591" s="1" customFormat="1" ht="15.75" customHeight="1" x14ac:dyDescent="0.3"/>
    <row r="592" s="1" customFormat="1" ht="15.75" customHeight="1" x14ac:dyDescent="0.3"/>
    <row r="593" s="1" customFormat="1" ht="15.75" customHeight="1" x14ac:dyDescent="0.3"/>
    <row r="594" s="1" customFormat="1" ht="15.75" customHeight="1" x14ac:dyDescent="0.3"/>
    <row r="595" s="1" customFormat="1" ht="15.75" customHeight="1" x14ac:dyDescent="0.3"/>
    <row r="596" s="1" customFormat="1" ht="15.75" customHeight="1" x14ac:dyDescent="0.3"/>
    <row r="597" s="1" customFormat="1" ht="15.75" customHeight="1" x14ac:dyDescent="0.3"/>
    <row r="598" s="1" customFormat="1" ht="15.75" customHeight="1" x14ac:dyDescent="0.3"/>
    <row r="599" s="1" customFormat="1" ht="15.75" customHeight="1" x14ac:dyDescent="0.3"/>
    <row r="600" s="1" customFormat="1" ht="15.75" customHeight="1" x14ac:dyDescent="0.3"/>
    <row r="601" s="1" customFormat="1" ht="15.75" customHeight="1" x14ac:dyDescent="0.3"/>
    <row r="602" s="1" customFormat="1" ht="15.75" customHeight="1" x14ac:dyDescent="0.3"/>
    <row r="603" s="1" customFormat="1" ht="15.75" customHeight="1" x14ac:dyDescent="0.3"/>
    <row r="604" s="1" customFormat="1" ht="15.75" customHeight="1" x14ac:dyDescent="0.3"/>
    <row r="605" s="1" customFormat="1" ht="15.75" customHeight="1" x14ac:dyDescent="0.3"/>
    <row r="606" s="1" customFormat="1" ht="15.75" customHeight="1" x14ac:dyDescent="0.3"/>
    <row r="607" s="1" customFormat="1" ht="15.75" customHeight="1" x14ac:dyDescent="0.3"/>
    <row r="608" s="1" customFormat="1" ht="15.75" customHeight="1" x14ac:dyDescent="0.3"/>
    <row r="609" s="1" customFormat="1" ht="15.75" customHeight="1" x14ac:dyDescent="0.3"/>
    <row r="610" s="1" customFormat="1" ht="15.75" customHeight="1" x14ac:dyDescent="0.3"/>
    <row r="611" s="1" customFormat="1" ht="15.75" customHeight="1" x14ac:dyDescent="0.3"/>
    <row r="612" s="1" customFormat="1" ht="15.75" customHeight="1" x14ac:dyDescent="0.3"/>
    <row r="613" s="1" customFormat="1" ht="15.75" customHeight="1" x14ac:dyDescent="0.3"/>
    <row r="614" s="1" customFormat="1" ht="15.75" customHeight="1" x14ac:dyDescent="0.3"/>
    <row r="615" s="1" customFormat="1" ht="15.75" customHeight="1" x14ac:dyDescent="0.3"/>
    <row r="616" s="1" customFormat="1" ht="15.75" customHeight="1" x14ac:dyDescent="0.3"/>
    <row r="617" s="1" customFormat="1" ht="15.75" customHeight="1" x14ac:dyDescent="0.3"/>
    <row r="618" s="1" customFormat="1" ht="15.75" customHeight="1" x14ac:dyDescent="0.3"/>
    <row r="619" s="1" customFormat="1" ht="15.75" customHeight="1" x14ac:dyDescent="0.3"/>
    <row r="620" s="1" customFormat="1" ht="15.75" customHeight="1" x14ac:dyDescent="0.3"/>
    <row r="621" s="1" customFormat="1" ht="15.75" customHeight="1" x14ac:dyDescent="0.3"/>
    <row r="622" s="1" customFormat="1" ht="15.75" customHeight="1" x14ac:dyDescent="0.3"/>
    <row r="623" s="1" customFormat="1" ht="15.75" customHeight="1" x14ac:dyDescent="0.3"/>
    <row r="624" s="1" customFormat="1" ht="15.75" customHeight="1" x14ac:dyDescent="0.3"/>
    <row r="625" s="1" customFormat="1" ht="15.75" customHeight="1" x14ac:dyDescent="0.3"/>
    <row r="626" s="1" customFormat="1" ht="15.75" customHeight="1" x14ac:dyDescent="0.3"/>
    <row r="627" s="1" customFormat="1" ht="15.75" customHeight="1" x14ac:dyDescent="0.3"/>
    <row r="628" s="1" customFormat="1" ht="15.75" customHeight="1" x14ac:dyDescent="0.3"/>
    <row r="629" s="1" customFormat="1" ht="15.75" customHeight="1" x14ac:dyDescent="0.3"/>
    <row r="630" s="1" customFormat="1" ht="15.75" customHeight="1" x14ac:dyDescent="0.3"/>
    <row r="631" s="1" customFormat="1" ht="15.75" customHeight="1" x14ac:dyDescent="0.3"/>
    <row r="632" s="1" customFormat="1" ht="15.75" customHeight="1" x14ac:dyDescent="0.3"/>
    <row r="633" s="1" customFormat="1" ht="15.75" customHeight="1" x14ac:dyDescent="0.3"/>
    <row r="634" s="1" customFormat="1" ht="15.75" customHeight="1" x14ac:dyDescent="0.3"/>
    <row r="635" s="1" customFormat="1" ht="15.75" customHeight="1" x14ac:dyDescent="0.3"/>
    <row r="636" s="1" customFormat="1" ht="15.75" customHeight="1" x14ac:dyDescent="0.3"/>
    <row r="637" s="1" customFormat="1" ht="15.75" customHeight="1" x14ac:dyDescent="0.3"/>
    <row r="638" s="1" customFormat="1" ht="15.75" customHeight="1" x14ac:dyDescent="0.3"/>
    <row r="639" s="1" customFormat="1" ht="15.75" customHeight="1" x14ac:dyDescent="0.3"/>
    <row r="640" s="1" customFormat="1" ht="15.75" customHeight="1" x14ac:dyDescent="0.3"/>
    <row r="641" s="1" customFormat="1" ht="15.75" customHeight="1" x14ac:dyDescent="0.3"/>
    <row r="642" s="1" customFormat="1" ht="15.75" customHeight="1" x14ac:dyDescent="0.3"/>
    <row r="643" s="1" customFormat="1" ht="15.75" customHeight="1" x14ac:dyDescent="0.3"/>
    <row r="644" s="1" customFormat="1" ht="15.75" customHeight="1" x14ac:dyDescent="0.3"/>
    <row r="645" s="1" customFormat="1" ht="15.75" customHeight="1" x14ac:dyDescent="0.3"/>
    <row r="646" s="1" customFormat="1" ht="15.75" customHeight="1" x14ac:dyDescent="0.3"/>
    <row r="647" s="1" customFormat="1" ht="15.75" customHeight="1" x14ac:dyDescent="0.3"/>
    <row r="648" s="1" customFormat="1" ht="15.75" customHeight="1" x14ac:dyDescent="0.3"/>
    <row r="649" s="1" customFormat="1" ht="15.75" customHeight="1" x14ac:dyDescent="0.3"/>
    <row r="650" s="1" customFormat="1" ht="15.75" customHeight="1" x14ac:dyDescent="0.3"/>
    <row r="651" s="1" customFormat="1" ht="15.75" customHeight="1" x14ac:dyDescent="0.3"/>
    <row r="652" s="1" customFormat="1" ht="15.75" customHeight="1" x14ac:dyDescent="0.3"/>
    <row r="653" s="1" customFormat="1" ht="15.75" customHeight="1" x14ac:dyDescent="0.3"/>
    <row r="654" s="1" customFormat="1" ht="15.75" customHeight="1" x14ac:dyDescent="0.3"/>
    <row r="655" s="1" customFormat="1" ht="15.75" customHeight="1" x14ac:dyDescent="0.3"/>
    <row r="656" s="1" customFormat="1" ht="15.75" customHeight="1" x14ac:dyDescent="0.3"/>
    <row r="657" s="1" customFormat="1" ht="15.75" customHeight="1" x14ac:dyDescent="0.3"/>
    <row r="658" s="1" customFormat="1" ht="15.75" customHeight="1" x14ac:dyDescent="0.3"/>
    <row r="659" s="1" customFormat="1" ht="15.75" customHeight="1" x14ac:dyDescent="0.3"/>
    <row r="660" s="1" customFormat="1" ht="15.75" customHeight="1" x14ac:dyDescent="0.3"/>
    <row r="661" s="1" customFormat="1" ht="15.75" customHeight="1" x14ac:dyDescent="0.3"/>
    <row r="662" s="1" customFormat="1" ht="15.75" customHeight="1" x14ac:dyDescent="0.3"/>
    <row r="663" s="1" customFormat="1" ht="15.75" customHeight="1" x14ac:dyDescent="0.3"/>
    <row r="664" s="1" customFormat="1" ht="15.75" customHeight="1" x14ac:dyDescent="0.3"/>
    <row r="665" s="1" customFormat="1" ht="15.75" customHeight="1" x14ac:dyDescent="0.3"/>
    <row r="666" s="1" customFormat="1" ht="15.75" customHeight="1" x14ac:dyDescent="0.3"/>
    <row r="667" s="1" customFormat="1" ht="15.75" customHeight="1" x14ac:dyDescent="0.3"/>
    <row r="668" s="1" customFormat="1" ht="15.75" customHeight="1" x14ac:dyDescent="0.3"/>
    <row r="669" s="1" customFormat="1" ht="15.75" customHeight="1" x14ac:dyDescent="0.3"/>
    <row r="670" s="1" customFormat="1" ht="15.75" customHeight="1" x14ac:dyDescent="0.3"/>
    <row r="671" s="1" customFormat="1" ht="15.75" customHeight="1" x14ac:dyDescent="0.3"/>
    <row r="672" s="1" customFormat="1" ht="15.75" customHeight="1" x14ac:dyDescent="0.3"/>
    <row r="673" s="1" customFormat="1" ht="15.75" customHeight="1" x14ac:dyDescent="0.3"/>
    <row r="674" s="1" customFormat="1" ht="15.75" customHeight="1" x14ac:dyDescent="0.3"/>
    <row r="675" s="1" customFormat="1" ht="15.75" customHeight="1" x14ac:dyDescent="0.3"/>
    <row r="676" s="1" customFormat="1" ht="15.75" customHeight="1" x14ac:dyDescent="0.3"/>
    <row r="677" s="1" customFormat="1" ht="15.75" customHeight="1" x14ac:dyDescent="0.3"/>
    <row r="678" s="1" customFormat="1" ht="15.75" customHeight="1" x14ac:dyDescent="0.3"/>
    <row r="679" s="1" customFormat="1" ht="15.75" customHeight="1" x14ac:dyDescent="0.3"/>
    <row r="680" s="1" customFormat="1" ht="15.75" customHeight="1" x14ac:dyDescent="0.3"/>
    <row r="681" s="1" customFormat="1" ht="15.75" customHeight="1" x14ac:dyDescent="0.3"/>
    <row r="682" s="1" customFormat="1" ht="15.75" customHeight="1" x14ac:dyDescent="0.3"/>
    <row r="683" s="1" customFormat="1" ht="15.75" customHeight="1" x14ac:dyDescent="0.3"/>
    <row r="684" s="1" customFormat="1" ht="15.75" customHeight="1" x14ac:dyDescent="0.3"/>
    <row r="685" s="1" customFormat="1" ht="15.75" customHeight="1" x14ac:dyDescent="0.3"/>
    <row r="686" s="1" customFormat="1" ht="15.75" customHeight="1" x14ac:dyDescent="0.3"/>
    <row r="687" s="1" customFormat="1" ht="15.75" customHeight="1" x14ac:dyDescent="0.3"/>
    <row r="688" s="1" customFormat="1" ht="15.75" customHeight="1" x14ac:dyDescent="0.3"/>
    <row r="689" s="1" customFormat="1" ht="15.75" customHeight="1" x14ac:dyDescent="0.3"/>
    <row r="690" s="1" customFormat="1" ht="15.75" customHeight="1" x14ac:dyDescent="0.3"/>
    <row r="691" s="1" customFormat="1" ht="15.75" customHeight="1" x14ac:dyDescent="0.3"/>
    <row r="692" s="1" customFormat="1" ht="15.75" customHeight="1" x14ac:dyDescent="0.3"/>
    <row r="693" s="1" customFormat="1" ht="15.75" customHeight="1" x14ac:dyDescent="0.3"/>
    <row r="694" s="1" customFormat="1" ht="15.75" customHeight="1" x14ac:dyDescent="0.3"/>
    <row r="695" s="1" customFormat="1" ht="15.75" customHeight="1" x14ac:dyDescent="0.3"/>
    <row r="696" s="1" customFormat="1" ht="15.75" customHeight="1" x14ac:dyDescent="0.3"/>
    <row r="697" s="1" customFormat="1" ht="15.75" customHeight="1" x14ac:dyDescent="0.3"/>
    <row r="698" s="1" customFormat="1" ht="15.75" customHeight="1" x14ac:dyDescent="0.3"/>
    <row r="699" s="1" customFormat="1" ht="15.75" customHeight="1" x14ac:dyDescent="0.3"/>
    <row r="700" s="1" customFormat="1" ht="15.75" customHeight="1" x14ac:dyDescent="0.3"/>
    <row r="701" s="1" customFormat="1" ht="15.75" customHeight="1" x14ac:dyDescent="0.3"/>
    <row r="702" s="1" customFormat="1" ht="15.75" customHeight="1" x14ac:dyDescent="0.3"/>
    <row r="703" s="1" customFormat="1" ht="15.75" customHeight="1" x14ac:dyDescent="0.3"/>
    <row r="704" s="1" customFormat="1" ht="15.75" customHeight="1" x14ac:dyDescent="0.3"/>
    <row r="705" s="1" customFormat="1" ht="15.75" customHeight="1" x14ac:dyDescent="0.3"/>
    <row r="706" s="1" customFormat="1" ht="15.75" customHeight="1" x14ac:dyDescent="0.3"/>
    <row r="707" s="1" customFormat="1" ht="15.75" customHeight="1" x14ac:dyDescent="0.3"/>
    <row r="708" s="1" customFormat="1" ht="15.75" customHeight="1" x14ac:dyDescent="0.3"/>
    <row r="709" s="1" customFormat="1" ht="15.75" customHeight="1" x14ac:dyDescent="0.3"/>
    <row r="710" s="1" customFormat="1" ht="15.75" customHeight="1" x14ac:dyDescent="0.3"/>
    <row r="711" s="1" customFormat="1" ht="15.75" customHeight="1" x14ac:dyDescent="0.3"/>
    <row r="712" s="1" customFormat="1" ht="15.75" customHeight="1" x14ac:dyDescent="0.3"/>
    <row r="713" s="1" customFormat="1" ht="15.75" customHeight="1" x14ac:dyDescent="0.3"/>
    <row r="714" s="1" customFormat="1" ht="15.75" customHeight="1" x14ac:dyDescent="0.3"/>
    <row r="715" s="1" customFormat="1" ht="15.75" customHeight="1" x14ac:dyDescent="0.3"/>
    <row r="716" s="1" customFormat="1" ht="15.75" customHeight="1" x14ac:dyDescent="0.3"/>
    <row r="717" s="1" customFormat="1" ht="15.75" customHeight="1" x14ac:dyDescent="0.3"/>
    <row r="718" s="1" customFormat="1" ht="15.75" customHeight="1" x14ac:dyDescent="0.3"/>
    <row r="719" s="1" customFormat="1" ht="15.75" customHeight="1" x14ac:dyDescent="0.3"/>
    <row r="720" s="1" customFormat="1" ht="15.75" customHeight="1" x14ac:dyDescent="0.3"/>
    <row r="721" s="1" customFormat="1" ht="15.75" customHeight="1" x14ac:dyDescent="0.3"/>
    <row r="722" s="1" customFormat="1" ht="15.75" customHeight="1" x14ac:dyDescent="0.3"/>
    <row r="723" s="1" customFormat="1" ht="15.75" customHeight="1" x14ac:dyDescent="0.3"/>
    <row r="724" s="1" customFormat="1" ht="15.75" customHeight="1" x14ac:dyDescent="0.3"/>
    <row r="725" s="1" customFormat="1" ht="15.75" customHeight="1" x14ac:dyDescent="0.3"/>
    <row r="726" s="1" customFormat="1" ht="15.75" customHeight="1" x14ac:dyDescent="0.3"/>
    <row r="727" s="1" customFormat="1" ht="15.75" customHeight="1" x14ac:dyDescent="0.3"/>
    <row r="728" s="1" customFormat="1" ht="15.75" customHeight="1" x14ac:dyDescent="0.3"/>
    <row r="729" s="1" customFormat="1" ht="15.75" customHeight="1" x14ac:dyDescent="0.3"/>
    <row r="730" s="1" customFormat="1" ht="15.75" customHeight="1" x14ac:dyDescent="0.3"/>
    <row r="731" s="1" customFormat="1" ht="15.75" customHeight="1" x14ac:dyDescent="0.3"/>
    <row r="732" s="1" customFormat="1" ht="15.75" customHeight="1" x14ac:dyDescent="0.3"/>
    <row r="733" s="1" customFormat="1" ht="15.75" customHeight="1" x14ac:dyDescent="0.3"/>
    <row r="734" s="1" customFormat="1" ht="15.75" customHeight="1" x14ac:dyDescent="0.3"/>
    <row r="735" s="1" customFormat="1" ht="15.75" customHeight="1" x14ac:dyDescent="0.3"/>
    <row r="736" s="1" customFormat="1" ht="15.75" customHeight="1" x14ac:dyDescent="0.3"/>
    <row r="737" s="1" customFormat="1" ht="15.75" customHeight="1" x14ac:dyDescent="0.3"/>
    <row r="738" s="1" customFormat="1" ht="15.75" customHeight="1" x14ac:dyDescent="0.3"/>
    <row r="739" s="1" customFormat="1" ht="15.75" customHeight="1" x14ac:dyDescent="0.3"/>
    <row r="740" s="1" customFormat="1" ht="15.75" customHeight="1" x14ac:dyDescent="0.3"/>
    <row r="741" s="1" customFormat="1" ht="15.75" customHeight="1" x14ac:dyDescent="0.3"/>
    <row r="742" s="1" customFormat="1" ht="15.75" customHeight="1" x14ac:dyDescent="0.3"/>
    <row r="743" s="1" customFormat="1" ht="15.75" customHeight="1" x14ac:dyDescent="0.3"/>
    <row r="744" s="1" customFormat="1" ht="15.75" customHeight="1" x14ac:dyDescent="0.3"/>
    <row r="745" s="1" customFormat="1" ht="15.75" customHeight="1" x14ac:dyDescent="0.3"/>
    <row r="746" s="1" customFormat="1" ht="15.75" customHeight="1" x14ac:dyDescent="0.3"/>
    <row r="747" s="1" customFormat="1" ht="15.75" customHeight="1" x14ac:dyDescent="0.3"/>
    <row r="748" s="1" customFormat="1" ht="15.75" customHeight="1" x14ac:dyDescent="0.3"/>
    <row r="749" s="1" customFormat="1" ht="15.75" customHeight="1" x14ac:dyDescent="0.3"/>
    <row r="750" s="1" customFormat="1" ht="15.75" customHeight="1" x14ac:dyDescent="0.3"/>
    <row r="751" s="1" customFormat="1" ht="15.75" customHeight="1" x14ac:dyDescent="0.3"/>
    <row r="752" s="1" customFormat="1" ht="15.75" customHeight="1" x14ac:dyDescent="0.3"/>
    <row r="753" s="1" customFormat="1" ht="15.75" customHeight="1" x14ac:dyDescent="0.3"/>
    <row r="754" s="1" customFormat="1" ht="15.75" customHeight="1" x14ac:dyDescent="0.3"/>
    <row r="755" s="1" customFormat="1" ht="15.75" customHeight="1" x14ac:dyDescent="0.3"/>
    <row r="756" s="1" customFormat="1" ht="15.75" customHeight="1" x14ac:dyDescent="0.3"/>
    <row r="757" s="1" customFormat="1" ht="15.75" customHeight="1" x14ac:dyDescent="0.3"/>
    <row r="758" s="1" customFormat="1" ht="15.75" customHeight="1" x14ac:dyDescent="0.3"/>
    <row r="759" s="1" customFormat="1" ht="15.75" customHeight="1" x14ac:dyDescent="0.3"/>
    <row r="760" s="1" customFormat="1" ht="15.75" customHeight="1" x14ac:dyDescent="0.3"/>
    <row r="761" s="1" customFormat="1" ht="15.75" customHeight="1" x14ac:dyDescent="0.3"/>
    <row r="762" s="1" customFormat="1" ht="15.75" customHeight="1" x14ac:dyDescent="0.3"/>
    <row r="763" s="1" customFormat="1" ht="15.75" customHeight="1" x14ac:dyDescent="0.3"/>
    <row r="764" s="1" customFormat="1" ht="15.75" customHeight="1" x14ac:dyDescent="0.3"/>
    <row r="765" s="1" customFormat="1" ht="15.75" customHeight="1" x14ac:dyDescent="0.3"/>
    <row r="766" s="1" customFormat="1" ht="15.75" customHeight="1" x14ac:dyDescent="0.3"/>
    <row r="767" s="1" customFormat="1" ht="15.75" customHeight="1" x14ac:dyDescent="0.3"/>
    <row r="768" s="1" customFormat="1" ht="15.75" customHeight="1" x14ac:dyDescent="0.3"/>
    <row r="769" s="1" customFormat="1" ht="15.75" customHeight="1" x14ac:dyDescent="0.3"/>
    <row r="770" s="1" customFormat="1" ht="15.75" customHeight="1" x14ac:dyDescent="0.3"/>
    <row r="771" s="1" customFormat="1" ht="15.75" customHeight="1" x14ac:dyDescent="0.3"/>
    <row r="772" s="1" customFormat="1" ht="15.75" customHeight="1" x14ac:dyDescent="0.3"/>
    <row r="773" s="1" customFormat="1" ht="15.75" customHeight="1" x14ac:dyDescent="0.3"/>
    <row r="774" s="1" customFormat="1" ht="15.75" customHeight="1" x14ac:dyDescent="0.3"/>
    <row r="775" s="1" customFormat="1" ht="15.75" customHeight="1" x14ac:dyDescent="0.3"/>
    <row r="776" s="1" customFormat="1" ht="15.75" customHeight="1" x14ac:dyDescent="0.3"/>
    <row r="777" s="1" customFormat="1" ht="15.75" customHeight="1" x14ac:dyDescent="0.3"/>
    <row r="778" s="1" customFormat="1" ht="15.75" customHeight="1" x14ac:dyDescent="0.3"/>
    <row r="779" s="1" customFormat="1" ht="15.75" customHeight="1" x14ac:dyDescent="0.3"/>
    <row r="780" s="1" customFormat="1" ht="15.75" customHeight="1" x14ac:dyDescent="0.3"/>
    <row r="781" s="1" customFormat="1" ht="15.75" customHeight="1" x14ac:dyDescent="0.3"/>
    <row r="782" s="1" customFormat="1" ht="15.75" customHeight="1" x14ac:dyDescent="0.3"/>
    <row r="783" s="1" customFormat="1" ht="15.75" customHeight="1" x14ac:dyDescent="0.3"/>
    <row r="784" s="1" customFormat="1" ht="15.75" customHeight="1" x14ac:dyDescent="0.3"/>
    <row r="785" s="1" customFormat="1" ht="15.75" customHeight="1" x14ac:dyDescent="0.3"/>
    <row r="786" s="1" customFormat="1" ht="15.75" customHeight="1" x14ac:dyDescent="0.3"/>
    <row r="787" s="1" customFormat="1" ht="15.75" customHeight="1" x14ac:dyDescent="0.3"/>
    <row r="788" s="1" customFormat="1" ht="15.75" customHeight="1" x14ac:dyDescent="0.3"/>
    <row r="789" s="1" customFormat="1" ht="15.75" customHeight="1" x14ac:dyDescent="0.3"/>
    <row r="790" s="1" customFormat="1" ht="15.75" customHeight="1" x14ac:dyDescent="0.3"/>
    <row r="791" s="1" customFormat="1" ht="15.75" customHeight="1" x14ac:dyDescent="0.3"/>
    <row r="792" s="1" customFormat="1" ht="15.75" customHeight="1" x14ac:dyDescent="0.3"/>
    <row r="793" s="1" customFormat="1" ht="15.75" customHeight="1" x14ac:dyDescent="0.3"/>
    <row r="794" s="1" customFormat="1" ht="15.75" customHeight="1" x14ac:dyDescent="0.3"/>
    <row r="795" s="1" customFormat="1" ht="15.75" customHeight="1" x14ac:dyDescent="0.3"/>
    <row r="796" s="1" customFormat="1" ht="15.75" customHeight="1" x14ac:dyDescent="0.3"/>
    <row r="797" s="1" customFormat="1" ht="15.75" customHeight="1" x14ac:dyDescent="0.3"/>
    <row r="798" s="1" customFormat="1" ht="15.75" customHeight="1" x14ac:dyDescent="0.3"/>
    <row r="799" s="1" customFormat="1" ht="15.75" customHeight="1" x14ac:dyDescent="0.3"/>
    <row r="800" s="1" customFormat="1" ht="15.75" customHeight="1" x14ac:dyDescent="0.3"/>
    <row r="801" s="1" customFormat="1" ht="15.75" customHeight="1" x14ac:dyDescent="0.3"/>
    <row r="802" s="1" customFormat="1" ht="15.75" customHeight="1" x14ac:dyDescent="0.3"/>
    <row r="803" s="1" customFormat="1" ht="15.75" customHeight="1" x14ac:dyDescent="0.3"/>
    <row r="804" s="1" customFormat="1" ht="15.75" customHeight="1" x14ac:dyDescent="0.3"/>
    <row r="805" s="1" customFormat="1" ht="15.75" customHeight="1" x14ac:dyDescent="0.3"/>
    <row r="806" s="1" customFormat="1" ht="15.75" customHeight="1" x14ac:dyDescent="0.3"/>
    <row r="807" s="1" customFormat="1" ht="15.75" customHeight="1" x14ac:dyDescent="0.3"/>
    <row r="808" s="1" customFormat="1" ht="15.75" customHeight="1" x14ac:dyDescent="0.3"/>
    <row r="809" s="1" customFormat="1" ht="15.75" customHeight="1" x14ac:dyDescent="0.3"/>
    <row r="810" s="1" customFormat="1" ht="15.75" customHeight="1" x14ac:dyDescent="0.3"/>
    <row r="811" s="1" customFormat="1" ht="15.75" customHeight="1" x14ac:dyDescent="0.3"/>
    <row r="812" s="1" customFormat="1" ht="15.75" customHeight="1" x14ac:dyDescent="0.3"/>
    <row r="813" s="1" customFormat="1" ht="15.75" customHeight="1" x14ac:dyDescent="0.3"/>
    <row r="814" s="1" customFormat="1" ht="15.75" customHeight="1" x14ac:dyDescent="0.3"/>
    <row r="815" s="1" customFormat="1" ht="15.75" customHeight="1" x14ac:dyDescent="0.3"/>
    <row r="816" s="1" customFormat="1" ht="15.75" customHeight="1" x14ac:dyDescent="0.3"/>
    <row r="817" s="1" customFormat="1" ht="15.75" customHeight="1" x14ac:dyDescent="0.3"/>
    <row r="818" s="1" customFormat="1" ht="15.75" customHeight="1" x14ac:dyDescent="0.3"/>
    <row r="819" s="1" customFormat="1" ht="15.75" customHeight="1" x14ac:dyDescent="0.3"/>
    <row r="820" s="1" customFormat="1" ht="15.75" customHeight="1" x14ac:dyDescent="0.3"/>
    <row r="821" s="1" customFormat="1" ht="15.75" customHeight="1" x14ac:dyDescent="0.3"/>
    <row r="822" s="1" customFormat="1" ht="15.75" customHeight="1" x14ac:dyDescent="0.3"/>
    <row r="823" s="1" customFormat="1" ht="15.75" customHeight="1" x14ac:dyDescent="0.3"/>
    <row r="824" s="1" customFormat="1" ht="15.75" customHeight="1" x14ac:dyDescent="0.3"/>
    <row r="825" s="1" customFormat="1" ht="15.75" customHeight="1" x14ac:dyDescent="0.3"/>
    <row r="826" s="1" customFormat="1" ht="15.75" customHeight="1" x14ac:dyDescent="0.3"/>
    <row r="827" s="1" customFormat="1" ht="15.75" customHeight="1" x14ac:dyDescent="0.3"/>
    <row r="828" s="1" customFormat="1" ht="15.75" customHeight="1" x14ac:dyDescent="0.3"/>
    <row r="829" s="1" customFormat="1" ht="15.75" customHeight="1" x14ac:dyDescent="0.3"/>
    <row r="830" s="1" customFormat="1" ht="15.75" customHeight="1" x14ac:dyDescent="0.3"/>
    <row r="831" s="1" customFormat="1" ht="15.75" customHeight="1" x14ac:dyDescent="0.3"/>
    <row r="832" s="1" customFormat="1" ht="15.75" customHeight="1" x14ac:dyDescent="0.3"/>
    <row r="833" s="1" customFormat="1" ht="15.75" customHeight="1" x14ac:dyDescent="0.3"/>
    <row r="834" s="1" customFormat="1" ht="15.75" customHeight="1" x14ac:dyDescent="0.3"/>
    <row r="835" s="1" customFormat="1" ht="15.75" customHeight="1" x14ac:dyDescent="0.3"/>
    <row r="836" s="1" customFormat="1" ht="15.75" customHeight="1" x14ac:dyDescent="0.3"/>
    <row r="837" s="1" customFormat="1" ht="15.75" customHeight="1" x14ac:dyDescent="0.3"/>
    <row r="838" s="1" customFormat="1" ht="15.75" customHeight="1" x14ac:dyDescent="0.3"/>
    <row r="839" s="1" customFormat="1" ht="15.75" customHeight="1" x14ac:dyDescent="0.3"/>
    <row r="840" s="1" customFormat="1" ht="15.75" customHeight="1" x14ac:dyDescent="0.3"/>
    <row r="841" s="1" customFormat="1" ht="15.75" customHeight="1" x14ac:dyDescent="0.3"/>
    <row r="842" s="1" customFormat="1" ht="15.75" customHeight="1" x14ac:dyDescent="0.3"/>
    <row r="843" s="1" customFormat="1" ht="15.75" customHeight="1" x14ac:dyDescent="0.3"/>
    <row r="844" s="1" customFormat="1" ht="15.75" customHeight="1" x14ac:dyDescent="0.3"/>
    <row r="845" s="1" customFormat="1" ht="15.75" customHeight="1" x14ac:dyDescent="0.3"/>
    <row r="846" s="1" customFormat="1" ht="15.75" customHeight="1" x14ac:dyDescent="0.3"/>
    <row r="847" s="1" customFormat="1" ht="15.75" customHeight="1" x14ac:dyDescent="0.3"/>
    <row r="848" s="1" customFormat="1" ht="15.75" customHeight="1" x14ac:dyDescent="0.3"/>
    <row r="849" s="1" customFormat="1" ht="15.75" customHeight="1" x14ac:dyDescent="0.3"/>
    <row r="850" s="1" customFormat="1" ht="15.75" customHeight="1" x14ac:dyDescent="0.3"/>
    <row r="851" s="1" customFormat="1" ht="15.75" customHeight="1" x14ac:dyDescent="0.3"/>
    <row r="852" s="1" customFormat="1" ht="15.75" customHeight="1" x14ac:dyDescent="0.3"/>
    <row r="853" s="1" customFormat="1" ht="15.75" customHeight="1" x14ac:dyDescent="0.3"/>
    <row r="854" s="1" customFormat="1" ht="15.75" customHeight="1" x14ac:dyDescent="0.3"/>
    <row r="855" s="1" customFormat="1" ht="15.75" customHeight="1" x14ac:dyDescent="0.3"/>
    <row r="856" s="1" customFormat="1" ht="15.75" customHeight="1" x14ac:dyDescent="0.3"/>
    <row r="857" s="1" customFormat="1" ht="15.75" customHeight="1" x14ac:dyDescent="0.3"/>
    <row r="858" s="1" customFormat="1" ht="15.75" customHeight="1" x14ac:dyDescent="0.3"/>
    <row r="859" s="1" customFormat="1" ht="15.75" customHeight="1" x14ac:dyDescent="0.3"/>
    <row r="860" s="1" customFormat="1" ht="15.75" customHeight="1" x14ac:dyDescent="0.3"/>
    <row r="861" s="1" customFormat="1" ht="15.75" customHeight="1" x14ac:dyDescent="0.3"/>
    <row r="862" s="1" customFormat="1" ht="15.75" customHeight="1" x14ac:dyDescent="0.3"/>
    <row r="863" s="1" customFormat="1" ht="15.75" customHeight="1" x14ac:dyDescent="0.3"/>
    <row r="864" s="1" customFormat="1" ht="15.75" customHeight="1" x14ac:dyDescent="0.3"/>
    <row r="865" s="1" customFormat="1" ht="15.75" customHeight="1" x14ac:dyDescent="0.3"/>
    <row r="866" s="1" customFormat="1" ht="15.75" customHeight="1" x14ac:dyDescent="0.3"/>
    <row r="867" s="1" customFormat="1" ht="15.75" customHeight="1" x14ac:dyDescent="0.3"/>
    <row r="868" s="1" customFormat="1" ht="15.75" customHeight="1" x14ac:dyDescent="0.3"/>
    <row r="869" s="1" customFormat="1" ht="15.75" customHeight="1" x14ac:dyDescent="0.3"/>
    <row r="870" s="1" customFormat="1" ht="15.75" customHeight="1" x14ac:dyDescent="0.3"/>
    <row r="871" s="1" customFormat="1" ht="15.75" customHeight="1" x14ac:dyDescent="0.3"/>
    <row r="872" s="1" customFormat="1" ht="15.75" customHeight="1" x14ac:dyDescent="0.3"/>
    <row r="873" s="1" customFormat="1" ht="15.75" customHeight="1" x14ac:dyDescent="0.3"/>
    <row r="874" s="1" customFormat="1" ht="15.75" customHeight="1" x14ac:dyDescent="0.3"/>
    <row r="875" s="1" customFormat="1" ht="15.75" customHeight="1" x14ac:dyDescent="0.3"/>
    <row r="876" s="1" customFormat="1" ht="15.75" customHeight="1" x14ac:dyDescent="0.3"/>
    <row r="877" s="1" customFormat="1" ht="15.75" customHeight="1" x14ac:dyDescent="0.3"/>
    <row r="878" s="1" customFormat="1" ht="15.75" customHeight="1" x14ac:dyDescent="0.3"/>
    <row r="879" s="1" customFormat="1" ht="15.75" customHeight="1" x14ac:dyDescent="0.3"/>
    <row r="880" s="1" customFormat="1" ht="15.75" customHeight="1" x14ac:dyDescent="0.3"/>
    <row r="881" s="1" customFormat="1" ht="15.75" customHeight="1" x14ac:dyDescent="0.3"/>
    <row r="882" s="1" customFormat="1" ht="15.75" customHeight="1" x14ac:dyDescent="0.3"/>
    <row r="883" s="1" customFormat="1" ht="15.75" customHeight="1" x14ac:dyDescent="0.3"/>
    <row r="884" s="1" customFormat="1" ht="15.75" customHeight="1" x14ac:dyDescent="0.3"/>
    <row r="885" s="1" customFormat="1" ht="15.75" customHeight="1" x14ac:dyDescent="0.3"/>
    <row r="886" s="1" customFormat="1" ht="15.75" customHeight="1" x14ac:dyDescent="0.3"/>
    <row r="887" s="1" customFormat="1" ht="15.75" customHeight="1" x14ac:dyDescent="0.3"/>
    <row r="888" s="1" customFormat="1" ht="15.75" customHeight="1" x14ac:dyDescent="0.3"/>
    <row r="889" s="1" customFormat="1" ht="15.75" customHeight="1" x14ac:dyDescent="0.3"/>
    <row r="890" s="1" customFormat="1" ht="15.75" customHeight="1" x14ac:dyDescent="0.3"/>
    <row r="891" s="1" customFormat="1" ht="15.75" customHeight="1" x14ac:dyDescent="0.3"/>
    <row r="892" s="1" customFormat="1" ht="15.75" customHeight="1" x14ac:dyDescent="0.3"/>
    <row r="893" s="1" customFormat="1" ht="15.75" customHeight="1" x14ac:dyDescent="0.3"/>
    <row r="894" s="1" customFormat="1" ht="15.75" customHeight="1" x14ac:dyDescent="0.3"/>
    <row r="895" s="1" customFormat="1" ht="15.75" customHeight="1" x14ac:dyDescent="0.3"/>
    <row r="896" s="1" customFormat="1" ht="15.75" customHeight="1" x14ac:dyDescent="0.3"/>
    <row r="897" s="1" customFormat="1" ht="15.75" customHeight="1" x14ac:dyDescent="0.3"/>
    <row r="898" s="1" customFormat="1" ht="15.75" customHeight="1" x14ac:dyDescent="0.3"/>
    <row r="899" s="1" customFormat="1" ht="15.75" customHeight="1" x14ac:dyDescent="0.3"/>
    <row r="900" s="1" customFormat="1" ht="15.75" customHeight="1" x14ac:dyDescent="0.3"/>
    <row r="901" s="1" customFormat="1" ht="15.75" customHeight="1" x14ac:dyDescent="0.3"/>
    <row r="902" s="1" customFormat="1" ht="15.75" customHeight="1" x14ac:dyDescent="0.3"/>
    <row r="903" s="1" customFormat="1" ht="15.75" customHeight="1" x14ac:dyDescent="0.3"/>
    <row r="904" s="1" customFormat="1" ht="15.75" customHeight="1" x14ac:dyDescent="0.3"/>
    <row r="905" s="1" customFormat="1" ht="15.75" customHeight="1" x14ac:dyDescent="0.3"/>
    <row r="906" s="1" customFormat="1" ht="15.75" customHeight="1" x14ac:dyDescent="0.3"/>
    <row r="907" s="1" customFormat="1" ht="15.75" customHeight="1" x14ac:dyDescent="0.3"/>
    <row r="908" s="1" customFormat="1" ht="15.75" customHeight="1" x14ac:dyDescent="0.3"/>
    <row r="909" s="1" customFormat="1" ht="15.75" customHeight="1" x14ac:dyDescent="0.3"/>
    <row r="910" s="1" customFormat="1" ht="15.75" customHeight="1" x14ac:dyDescent="0.3"/>
    <row r="911" s="1" customFormat="1" ht="15.75" customHeight="1" x14ac:dyDescent="0.3"/>
    <row r="912" s="1" customFormat="1" ht="15.75" customHeight="1" x14ac:dyDescent="0.3"/>
    <row r="913" s="1" customFormat="1" ht="15.75" customHeight="1" x14ac:dyDescent="0.3"/>
    <row r="914" s="1" customFormat="1" ht="15.75" customHeight="1" x14ac:dyDescent="0.3"/>
    <row r="915" s="1" customFormat="1" ht="15.75" customHeight="1" x14ac:dyDescent="0.3"/>
    <row r="916" s="1" customFormat="1" ht="15.75" customHeight="1" x14ac:dyDescent="0.3"/>
    <row r="917" s="1" customFormat="1" ht="15.75" customHeight="1" x14ac:dyDescent="0.3"/>
    <row r="918" s="1" customFormat="1" ht="15.75" customHeight="1" x14ac:dyDescent="0.3"/>
    <row r="919" s="1" customFormat="1" ht="15.75" customHeight="1" x14ac:dyDescent="0.3"/>
    <row r="920" s="1" customFormat="1" ht="15.75" customHeight="1" x14ac:dyDescent="0.3"/>
    <row r="921" s="1" customFormat="1" ht="15.75" customHeight="1" x14ac:dyDescent="0.3"/>
    <row r="922" s="1" customFormat="1" ht="15.75" customHeight="1" x14ac:dyDescent="0.3"/>
    <row r="923" s="1" customFormat="1" ht="15.75" customHeight="1" x14ac:dyDescent="0.3"/>
    <row r="924" s="1" customFormat="1" ht="15.75" customHeight="1" x14ac:dyDescent="0.3"/>
    <row r="925" s="1" customFormat="1" ht="15.75" customHeight="1" x14ac:dyDescent="0.3"/>
    <row r="926" s="1" customFormat="1" ht="15.75" customHeight="1" x14ac:dyDescent="0.3"/>
    <row r="927" s="1" customFormat="1" ht="15.75" customHeight="1" x14ac:dyDescent="0.3"/>
    <row r="928" s="1" customFormat="1" ht="15.75" customHeight="1" x14ac:dyDescent="0.3"/>
    <row r="929" s="1" customFormat="1" ht="15.75" customHeight="1" x14ac:dyDescent="0.3"/>
    <row r="930" s="1" customFormat="1" ht="15.75" customHeight="1" x14ac:dyDescent="0.3"/>
    <row r="931" s="1" customFormat="1" ht="15.75" customHeight="1" x14ac:dyDescent="0.3"/>
    <row r="932" s="1" customFormat="1" ht="15.75" customHeight="1" x14ac:dyDescent="0.3"/>
    <row r="933" s="1" customFormat="1" ht="15.75" customHeight="1" x14ac:dyDescent="0.3"/>
    <row r="934" s="1" customFormat="1" ht="15.75" customHeight="1" x14ac:dyDescent="0.3"/>
    <row r="935" s="1" customFormat="1" ht="15.75" customHeight="1" x14ac:dyDescent="0.3"/>
    <row r="936" s="1" customFormat="1" ht="15.75" customHeight="1" x14ac:dyDescent="0.3"/>
    <row r="937" s="1" customFormat="1" ht="15.75" customHeight="1" x14ac:dyDescent="0.3"/>
    <row r="938" s="1" customFormat="1" ht="15.75" customHeight="1" x14ac:dyDescent="0.3"/>
    <row r="939" s="1" customFormat="1" ht="15.75" customHeight="1" x14ac:dyDescent="0.3"/>
    <row r="940" s="1" customFormat="1" ht="15.75" customHeight="1" x14ac:dyDescent="0.3"/>
    <row r="941" s="1" customFormat="1" ht="15.75" customHeight="1" x14ac:dyDescent="0.3"/>
    <row r="942" s="1" customFormat="1" ht="15.75" customHeight="1" x14ac:dyDescent="0.3"/>
    <row r="943" s="1" customFormat="1" ht="15.75" customHeight="1" x14ac:dyDescent="0.3"/>
    <row r="944" s="1" customFormat="1" ht="15.75" customHeight="1" x14ac:dyDescent="0.3"/>
    <row r="945" s="1" customFormat="1" ht="15.75" customHeight="1" x14ac:dyDescent="0.3"/>
    <row r="946" s="1" customFormat="1" ht="15.75" customHeight="1" x14ac:dyDescent="0.3"/>
    <row r="947" s="1" customFormat="1" ht="15.75" customHeight="1" x14ac:dyDescent="0.3"/>
    <row r="948" s="1" customFormat="1" ht="15.75" customHeight="1" x14ac:dyDescent="0.3"/>
    <row r="949" s="1" customFormat="1" ht="15.75" customHeight="1" x14ac:dyDescent="0.3"/>
    <row r="950" s="1" customFormat="1" ht="15.75" customHeight="1" x14ac:dyDescent="0.3"/>
    <row r="951" s="1" customFormat="1" ht="15.75" customHeight="1" x14ac:dyDescent="0.3"/>
    <row r="952" s="1" customFormat="1" ht="15.75" customHeight="1" x14ac:dyDescent="0.3"/>
    <row r="953" s="1" customFormat="1" ht="15.75" customHeight="1" x14ac:dyDescent="0.3"/>
    <row r="954" s="1" customFormat="1" ht="15.75" customHeight="1" x14ac:dyDescent="0.3"/>
    <row r="955" s="1" customFormat="1" ht="15.75" customHeight="1" x14ac:dyDescent="0.3"/>
    <row r="956" s="1" customFormat="1" ht="15.75" customHeight="1" x14ac:dyDescent="0.3"/>
    <row r="957" s="1" customFormat="1" ht="15.75" customHeight="1" x14ac:dyDescent="0.3"/>
    <row r="958" s="1" customFormat="1" ht="15.75" customHeight="1" x14ac:dyDescent="0.3"/>
    <row r="959" s="1" customFormat="1" ht="15.75" customHeight="1" x14ac:dyDescent="0.3"/>
    <row r="960" s="1" customFormat="1" ht="15.75" customHeight="1" x14ac:dyDescent="0.3"/>
    <row r="961" s="1" customFormat="1" ht="15.75" customHeight="1" x14ac:dyDescent="0.3"/>
    <row r="962" s="1" customFormat="1" ht="15.75" customHeight="1" x14ac:dyDescent="0.3"/>
    <row r="963" s="1" customFormat="1" ht="15.75" customHeight="1" x14ac:dyDescent="0.3"/>
    <row r="964" s="1" customFormat="1" ht="15.75" customHeight="1" x14ac:dyDescent="0.3"/>
    <row r="965" s="1" customFormat="1" ht="15.75" customHeight="1" x14ac:dyDescent="0.3"/>
    <row r="966" s="1" customFormat="1" ht="15.75" customHeight="1" x14ac:dyDescent="0.3"/>
    <row r="967" s="1" customFormat="1" ht="15.75" customHeight="1" x14ac:dyDescent="0.3"/>
    <row r="968" s="1" customFormat="1" ht="15.75" customHeight="1" x14ac:dyDescent="0.3"/>
    <row r="969" s="1" customFormat="1" ht="15.75" customHeight="1" x14ac:dyDescent="0.3"/>
    <row r="970" s="1" customFormat="1" ht="15.75" customHeight="1" x14ac:dyDescent="0.3"/>
    <row r="971" s="1" customFormat="1" ht="15.75" customHeight="1" x14ac:dyDescent="0.3"/>
    <row r="972" s="1" customFormat="1" ht="15.75" customHeight="1" x14ac:dyDescent="0.3"/>
    <row r="973" s="1" customFormat="1" ht="15.75" customHeight="1" x14ac:dyDescent="0.3"/>
    <row r="974" s="1" customFormat="1" ht="15.75" customHeight="1" x14ac:dyDescent="0.3"/>
    <row r="975" s="1" customFormat="1" ht="15.75" customHeight="1" x14ac:dyDescent="0.3"/>
    <row r="976" s="1" customFormat="1" ht="15.75" customHeight="1" x14ac:dyDescent="0.3"/>
    <row r="977" s="1" customFormat="1" ht="15.75" customHeight="1" x14ac:dyDescent="0.3"/>
    <row r="978" s="1" customFormat="1" ht="15.75" customHeight="1" x14ac:dyDescent="0.3"/>
    <row r="979" s="1" customFormat="1" ht="15.75" customHeight="1" x14ac:dyDescent="0.3"/>
    <row r="980" s="1" customFormat="1" ht="15.75" customHeight="1" x14ac:dyDescent="0.3"/>
    <row r="981" s="1" customFormat="1" ht="15.75" customHeight="1" x14ac:dyDescent="0.3"/>
    <row r="982" s="1" customFormat="1" ht="15.75" customHeight="1" x14ac:dyDescent="0.3"/>
    <row r="983" s="1" customFormat="1" ht="15.75" customHeight="1" x14ac:dyDescent="0.3"/>
    <row r="984" s="1" customFormat="1" ht="15.75" customHeight="1" x14ac:dyDescent="0.3"/>
    <row r="985" s="1" customFormat="1" ht="15.75" customHeight="1" x14ac:dyDescent="0.3"/>
    <row r="986" s="1" customFormat="1" ht="15.75" customHeight="1" x14ac:dyDescent="0.3"/>
    <row r="987" s="1" customFormat="1" ht="15.75" customHeight="1" x14ac:dyDescent="0.3"/>
    <row r="988" s="1" customFormat="1" ht="15.75" customHeight="1" x14ac:dyDescent="0.3"/>
    <row r="989" s="1" customFormat="1" ht="15.75" customHeight="1" x14ac:dyDescent="0.3"/>
    <row r="990" s="1" customFormat="1" ht="15.75" customHeight="1" x14ac:dyDescent="0.3"/>
    <row r="991" s="1" customFormat="1" ht="15.75" customHeight="1" x14ac:dyDescent="0.3"/>
    <row r="992" s="1" customFormat="1" ht="15.75" customHeight="1" x14ac:dyDescent="0.3"/>
    <row r="993" s="1" customFormat="1" ht="15.75" customHeight="1" x14ac:dyDescent="0.3"/>
    <row r="994" s="1" customFormat="1" ht="15.75" customHeight="1" x14ac:dyDescent="0.3"/>
    <row r="995" s="1" customFormat="1" ht="15.75" customHeight="1" x14ac:dyDescent="0.3"/>
    <row r="996" s="1" customFormat="1" ht="15.75" customHeight="1" x14ac:dyDescent="0.3"/>
    <row r="997" s="1" customFormat="1" ht="15.75" customHeight="1" x14ac:dyDescent="0.3"/>
    <row r="998" s="1" customFormat="1" ht="15.75" customHeight="1" x14ac:dyDescent="0.3"/>
    <row r="999" s="1" customFormat="1" ht="15.75" customHeight="1" x14ac:dyDescent="0.3"/>
    <row r="1000" s="1" customFormat="1" ht="15.75" customHeight="1" x14ac:dyDescent="0.3"/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Jeetu Modi</dc:creator>
  <cp:lastModifiedBy>Jeetu Modi</cp:lastModifiedBy>
  <dcterms:created xsi:type="dcterms:W3CDTF">2025-12-03T15:29:06Z</dcterms:created>
  <dcterms:modified xsi:type="dcterms:W3CDTF">2025-12-03T15:50:09Z</dcterms:modified>
</cp:coreProperties>
</file>